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1894C38-2719-4361-A568-3308A51ED3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nthly perio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47" i="2" l="1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BJ135" i="2"/>
  <c r="BJ138" i="2" s="1"/>
  <c r="BI135" i="2"/>
  <c r="BI138" i="2" s="1"/>
  <c r="AV135" i="2"/>
  <c r="AV138" i="2" s="1"/>
  <c r="AT135" i="2"/>
  <c r="AT138" i="2" s="1"/>
  <c r="AS135" i="2"/>
  <c r="AS138" i="2" s="1"/>
  <c r="AF135" i="2"/>
  <c r="AF138" i="2" s="1"/>
  <c r="AD135" i="2"/>
  <c r="AD138" i="2" s="1"/>
  <c r="AC135" i="2"/>
  <c r="AC138" i="2" s="1"/>
  <c r="P135" i="2"/>
  <c r="P138" i="2" s="1"/>
  <c r="N135" i="2"/>
  <c r="N138" i="2" s="1"/>
  <c r="M135" i="2"/>
  <c r="M138" i="2" s="1"/>
  <c r="CA132" i="2"/>
  <c r="CA135" i="2" s="1"/>
  <c r="CA138" i="2" s="1"/>
  <c r="BZ132" i="2"/>
  <c r="BZ135" i="2" s="1"/>
  <c r="BZ138" i="2" s="1"/>
  <c r="BY132" i="2"/>
  <c r="BY135" i="2" s="1"/>
  <c r="BY138" i="2" s="1"/>
  <c r="BX132" i="2"/>
  <c r="BX135" i="2" s="1"/>
  <c r="BX138" i="2" s="1"/>
  <c r="BW132" i="2"/>
  <c r="BW135" i="2" s="1"/>
  <c r="BW138" i="2" s="1"/>
  <c r="BV132" i="2"/>
  <c r="BV135" i="2" s="1"/>
  <c r="BV138" i="2" s="1"/>
  <c r="BU132" i="2"/>
  <c r="BU135" i="2" s="1"/>
  <c r="BU138" i="2" s="1"/>
  <c r="BT132" i="2"/>
  <c r="BT135" i="2" s="1"/>
  <c r="BT138" i="2" s="1"/>
  <c r="BS132" i="2"/>
  <c r="BS135" i="2" s="1"/>
  <c r="BS138" i="2" s="1"/>
  <c r="BR132" i="2"/>
  <c r="BR135" i="2" s="1"/>
  <c r="BR138" i="2" s="1"/>
  <c r="BQ132" i="2"/>
  <c r="BQ135" i="2" s="1"/>
  <c r="BQ138" i="2" s="1"/>
  <c r="BP132" i="2"/>
  <c r="BP135" i="2" s="1"/>
  <c r="BP138" i="2" s="1"/>
  <c r="BO132" i="2"/>
  <c r="BO135" i="2" s="1"/>
  <c r="BO138" i="2" s="1"/>
  <c r="BN132" i="2"/>
  <c r="BN135" i="2" s="1"/>
  <c r="BN138" i="2" s="1"/>
  <c r="BM132" i="2"/>
  <c r="BM135" i="2" s="1"/>
  <c r="BM138" i="2" s="1"/>
  <c r="BL132" i="2"/>
  <c r="BL135" i="2" s="1"/>
  <c r="BL138" i="2" s="1"/>
  <c r="BK132" i="2"/>
  <c r="BK135" i="2" s="1"/>
  <c r="BK138" i="2" s="1"/>
  <c r="BJ132" i="2"/>
  <c r="BI132" i="2"/>
  <c r="BH132" i="2"/>
  <c r="BH135" i="2" s="1"/>
  <c r="BH138" i="2" s="1"/>
  <c r="BG132" i="2"/>
  <c r="BG135" i="2" s="1"/>
  <c r="BG138" i="2" s="1"/>
  <c r="BF132" i="2"/>
  <c r="BF135" i="2" s="1"/>
  <c r="BF138" i="2" s="1"/>
  <c r="BE132" i="2"/>
  <c r="BE135" i="2" s="1"/>
  <c r="BE138" i="2" s="1"/>
  <c r="BD132" i="2"/>
  <c r="BD135" i="2" s="1"/>
  <c r="BD138" i="2" s="1"/>
  <c r="BC132" i="2"/>
  <c r="BC135" i="2" s="1"/>
  <c r="BC138" i="2" s="1"/>
  <c r="BB132" i="2"/>
  <c r="BB135" i="2" s="1"/>
  <c r="BB138" i="2" s="1"/>
  <c r="BA132" i="2"/>
  <c r="BA135" i="2" s="1"/>
  <c r="BA138" i="2" s="1"/>
  <c r="AZ132" i="2"/>
  <c r="AZ135" i="2" s="1"/>
  <c r="AZ138" i="2" s="1"/>
  <c r="AY132" i="2"/>
  <c r="AY135" i="2" s="1"/>
  <c r="AY138" i="2" s="1"/>
  <c r="AX132" i="2"/>
  <c r="AX135" i="2" s="1"/>
  <c r="AX138" i="2" s="1"/>
  <c r="AW132" i="2"/>
  <c r="AW135" i="2" s="1"/>
  <c r="AW138" i="2" s="1"/>
  <c r="AV132" i="2"/>
  <c r="AU132" i="2"/>
  <c r="AU135" i="2" s="1"/>
  <c r="AU138" i="2" s="1"/>
  <c r="AT132" i="2"/>
  <c r="AS132" i="2"/>
  <c r="AR132" i="2"/>
  <c r="AR135" i="2" s="1"/>
  <c r="AR138" i="2" s="1"/>
  <c r="AQ132" i="2"/>
  <c r="AQ135" i="2" s="1"/>
  <c r="AQ138" i="2" s="1"/>
  <c r="AP132" i="2"/>
  <c r="AP135" i="2" s="1"/>
  <c r="AP138" i="2" s="1"/>
  <c r="AO132" i="2"/>
  <c r="AO135" i="2" s="1"/>
  <c r="AO138" i="2" s="1"/>
  <c r="AN132" i="2"/>
  <c r="AN135" i="2" s="1"/>
  <c r="AN138" i="2" s="1"/>
  <c r="AM132" i="2"/>
  <c r="AM135" i="2" s="1"/>
  <c r="AM138" i="2" s="1"/>
  <c r="AL132" i="2"/>
  <c r="AL135" i="2" s="1"/>
  <c r="AL138" i="2" s="1"/>
  <c r="AK132" i="2"/>
  <c r="AK135" i="2" s="1"/>
  <c r="AK138" i="2" s="1"/>
  <c r="AJ132" i="2"/>
  <c r="AJ135" i="2" s="1"/>
  <c r="AJ138" i="2" s="1"/>
  <c r="AI132" i="2"/>
  <c r="AI135" i="2" s="1"/>
  <c r="AI138" i="2" s="1"/>
  <c r="AH132" i="2"/>
  <c r="AH135" i="2" s="1"/>
  <c r="AH138" i="2" s="1"/>
  <c r="AG132" i="2"/>
  <c r="AG135" i="2" s="1"/>
  <c r="AG138" i="2" s="1"/>
  <c r="AF132" i="2"/>
  <c r="AE132" i="2"/>
  <c r="AE135" i="2" s="1"/>
  <c r="AE138" i="2" s="1"/>
  <c r="AD132" i="2"/>
  <c r="AC132" i="2"/>
  <c r="AB132" i="2"/>
  <c r="AB135" i="2" s="1"/>
  <c r="AB138" i="2" s="1"/>
  <c r="AA132" i="2"/>
  <c r="AA135" i="2" s="1"/>
  <c r="AA138" i="2" s="1"/>
  <c r="Z132" i="2"/>
  <c r="Z135" i="2" s="1"/>
  <c r="Z138" i="2" s="1"/>
  <c r="Y132" i="2"/>
  <c r="Y135" i="2" s="1"/>
  <c r="Y138" i="2" s="1"/>
  <c r="X132" i="2"/>
  <c r="X135" i="2" s="1"/>
  <c r="X138" i="2" s="1"/>
  <c r="W132" i="2"/>
  <c r="W135" i="2" s="1"/>
  <c r="W138" i="2" s="1"/>
  <c r="V132" i="2"/>
  <c r="V135" i="2" s="1"/>
  <c r="V138" i="2" s="1"/>
  <c r="U132" i="2"/>
  <c r="U135" i="2" s="1"/>
  <c r="U138" i="2" s="1"/>
  <c r="T132" i="2"/>
  <c r="T135" i="2" s="1"/>
  <c r="T138" i="2" s="1"/>
  <c r="S132" i="2"/>
  <c r="S135" i="2" s="1"/>
  <c r="S138" i="2" s="1"/>
  <c r="R132" i="2"/>
  <c r="R135" i="2" s="1"/>
  <c r="R138" i="2" s="1"/>
  <c r="Q132" i="2"/>
  <c r="Q135" i="2" s="1"/>
  <c r="Q138" i="2" s="1"/>
  <c r="P132" i="2"/>
  <c r="O132" i="2"/>
  <c r="O135" i="2" s="1"/>
  <c r="O138" i="2" s="1"/>
  <c r="N132" i="2"/>
  <c r="M132" i="2"/>
  <c r="L132" i="2"/>
  <c r="L135" i="2" s="1"/>
  <c r="L138" i="2" s="1"/>
  <c r="K132" i="2"/>
  <c r="K135" i="2" s="1"/>
  <c r="K138" i="2" s="1"/>
  <c r="J132" i="2"/>
  <c r="J135" i="2" s="1"/>
  <c r="J138" i="2" s="1"/>
  <c r="I132" i="2"/>
  <c r="I135" i="2" s="1"/>
  <c r="I138" i="2" s="1"/>
  <c r="H132" i="2"/>
  <c r="H135" i="2" s="1"/>
  <c r="H138" i="2" s="1"/>
  <c r="G132" i="2"/>
  <c r="G135" i="2" s="1"/>
  <c r="G138" i="2" s="1"/>
  <c r="F132" i="2"/>
  <c r="F135" i="2" s="1"/>
  <c r="F138" i="2" s="1"/>
  <c r="E132" i="2"/>
  <c r="E135" i="2" s="1"/>
  <c r="E138" i="2" s="1"/>
  <c r="D132" i="2"/>
  <c r="D135" i="2" s="1"/>
  <c r="D138" i="2" s="1"/>
  <c r="C132" i="2"/>
  <c r="C135" i="2" s="1"/>
  <c r="C138" i="2" s="1"/>
  <c r="B132" i="2"/>
  <c r="B135" i="2" s="1"/>
  <c r="B138" i="2" s="1"/>
  <c r="BV109" i="2"/>
  <c r="BF109" i="2"/>
  <c r="AP109" i="2"/>
  <c r="Z109" i="2"/>
  <c r="J109" i="2"/>
  <c r="BV108" i="2"/>
  <c r="BT108" i="2"/>
  <c r="BT109" i="2" s="1"/>
  <c r="BT139" i="2" s="1"/>
  <c r="BT148" i="2" s="1"/>
  <c r="BS108" i="2"/>
  <c r="BS109" i="2" s="1"/>
  <c r="BS139" i="2" s="1"/>
  <c r="BS148" i="2" s="1"/>
  <c r="BF108" i="2"/>
  <c r="BD108" i="2"/>
  <c r="BD109" i="2" s="1"/>
  <c r="BD139" i="2" s="1"/>
  <c r="BD148" i="2" s="1"/>
  <c r="BC108" i="2"/>
  <c r="BC109" i="2" s="1"/>
  <c r="BC139" i="2" s="1"/>
  <c r="BC148" i="2" s="1"/>
  <c r="AP108" i="2"/>
  <c r="AN108" i="2"/>
  <c r="AN109" i="2" s="1"/>
  <c r="AN139" i="2" s="1"/>
  <c r="AN148" i="2" s="1"/>
  <c r="AM108" i="2"/>
  <c r="AM109" i="2" s="1"/>
  <c r="AM139" i="2" s="1"/>
  <c r="AM148" i="2" s="1"/>
  <c r="Z108" i="2"/>
  <c r="X108" i="2"/>
  <c r="X109" i="2" s="1"/>
  <c r="X139" i="2" s="1"/>
  <c r="X148" i="2" s="1"/>
  <c r="W108" i="2"/>
  <c r="W109" i="2" s="1"/>
  <c r="W139" i="2" s="1"/>
  <c r="W148" i="2" s="1"/>
  <c r="J108" i="2"/>
  <c r="H108" i="2"/>
  <c r="H109" i="2" s="1"/>
  <c r="H139" i="2" s="1"/>
  <c r="H148" i="2" s="1"/>
  <c r="G108" i="2"/>
  <c r="G109" i="2" s="1"/>
  <c r="G139" i="2" s="1"/>
  <c r="G148" i="2" s="1"/>
  <c r="CA105" i="2"/>
  <c r="BZ105" i="2"/>
  <c r="BY105" i="2"/>
  <c r="BX105" i="2"/>
  <c r="BW105" i="2"/>
  <c r="BV105" i="2"/>
  <c r="BU105" i="2"/>
  <c r="BT105" i="2"/>
  <c r="BS105" i="2"/>
  <c r="BR105" i="2"/>
  <c r="BR108" i="2" s="1"/>
  <c r="BR109" i="2" s="1"/>
  <c r="BR139" i="2" s="1"/>
  <c r="BR148" i="2" s="1"/>
  <c r="BQ105" i="2"/>
  <c r="BQ108" i="2" s="1"/>
  <c r="BQ109" i="2" s="1"/>
  <c r="BQ139" i="2" s="1"/>
  <c r="BQ148" i="2" s="1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B108" i="2" s="1"/>
  <c r="BB109" i="2" s="1"/>
  <c r="BB139" i="2" s="1"/>
  <c r="BB148" i="2" s="1"/>
  <c r="BA105" i="2"/>
  <c r="BA108" i="2" s="1"/>
  <c r="BA109" i="2" s="1"/>
  <c r="BA139" i="2" s="1"/>
  <c r="BA148" i="2" s="1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L108" i="2" s="1"/>
  <c r="AL109" i="2" s="1"/>
  <c r="AL139" i="2" s="1"/>
  <c r="AL148" i="2" s="1"/>
  <c r="AK105" i="2"/>
  <c r="AK108" i="2" s="1"/>
  <c r="AK109" i="2" s="1"/>
  <c r="AK139" i="2" s="1"/>
  <c r="AK148" i="2" s="1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V108" i="2" s="1"/>
  <c r="V109" i="2" s="1"/>
  <c r="V139" i="2" s="1"/>
  <c r="V148" i="2" s="1"/>
  <c r="U105" i="2"/>
  <c r="U108" i="2" s="1"/>
  <c r="U109" i="2" s="1"/>
  <c r="U139" i="2" s="1"/>
  <c r="U148" i="2" s="1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F108" i="2" s="1"/>
  <c r="F109" i="2" s="1"/>
  <c r="F139" i="2" s="1"/>
  <c r="F148" i="2" s="1"/>
  <c r="E105" i="2"/>
  <c r="E108" i="2" s="1"/>
  <c r="E109" i="2" s="1"/>
  <c r="E139" i="2" s="1"/>
  <c r="E148" i="2" s="1"/>
  <c r="D105" i="2"/>
  <c r="C105" i="2"/>
  <c r="B105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O108" i="2" s="1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Y108" i="2" s="1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I108" i="2" s="1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S108" i="2" s="1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C108" i="2" s="1"/>
  <c r="B100" i="2"/>
  <c r="CA81" i="2"/>
  <c r="CA108" i="2" s="1"/>
  <c r="BZ81" i="2"/>
  <c r="BZ108" i="2" s="1"/>
  <c r="BY81" i="2"/>
  <c r="BY108" i="2" s="1"/>
  <c r="BX81" i="2"/>
  <c r="BX108" i="2" s="1"/>
  <c r="BX109" i="2" s="1"/>
  <c r="BW81" i="2"/>
  <c r="BW108" i="2" s="1"/>
  <c r="BV81" i="2"/>
  <c r="BU81" i="2"/>
  <c r="BU108" i="2" s="1"/>
  <c r="BU109" i="2" s="1"/>
  <c r="BT81" i="2"/>
  <c r="BS81" i="2"/>
  <c r="BR81" i="2"/>
  <c r="BQ81" i="2"/>
  <c r="BP81" i="2"/>
  <c r="BP108" i="2" s="1"/>
  <c r="BO81" i="2"/>
  <c r="BN81" i="2"/>
  <c r="BN108" i="2" s="1"/>
  <c r="BM81" i="2"/>
  <c r="BM108" i="2" s="1"/>
  <c r="BL81" i="2"/>
  <c r="BL108" i="2" s="1"/>
  <c r="BK81" i="2"/>
  <c r="BK108" i="2" s="1"/>
  <c r="BJ81" i="2"/>
  <c r="BJ108" i="2" s="1"/>
  <c r="BI81" i="2"/>
  <c r="BI108" i="2" s="1"/>
  <c r="BH81" i="2"/>
  <c r="BH108" i="2" s="1"/>
  <c r="BH109" i="2" s="1"/>
  <c r="BG81" i="2"/>
  <c r="BG108" i="2" s="1"/>
  <c r="BF81" i="2"/>
  <c r="BE81" i="2"/>
  <c r="BE108" i="2" s="1"/>
  <c r="BE109" i="2" s="1"/>
  <c r="BD81" i="2"/>
  <c r="BC81" i="2"/>
  <c r="BB81" i="2"/>
  <c r="BA81" i="2"/>
  <c r="AZ81" i="2"/>
  <c r="AZ108" i="2" s="1"/>
  <c r="AY81" i="2"/>
  <c r="AX81" i="2"/>
  <c r="AX108" i="2" s="1"/>
  <c r="AW81" i="2"/>
  <c r="AW108" i="2" s="1"/>
  <c r="AV81" i="2"/>
  <c r="AV108" i="2" s="1"/>
  <c r="AU81" i="2"/>
  <c r="AU108" i="2" s="1"/>
  <c r="AT81" i="2"/>
  <c r="AT108" i="2" s="1"/>
  <c r="AS81" i="2"/>
  <c r="AS108" i="2" s="1"/>
  <c r="AR81" i="2"/>
  <c r="AR108" i="2" s="1"/>
  <c r="AR109" i="2" s="1"/>
  <c r="AQ81" i="2"/>
  <c r="AQ108" i="2" s="1"/>
  <c r="AP81" i="2"/>
  <c r="AO81" i="2"/>
  <c r="AO108" i="2" s="1"/>
  <c r="AO109" i="2" s="1"/>
  <c r="AN81" i="2"/>
  <c r="AM81" i="2"/>
  <c r="AL81" i="2"/>
  <c r="AK81" i="2"/>
  <c r="AJ81" i="2"/>
  <c r="AJ108" i="2" s="1"/>
  <c r="AI81" i="2"/>
  <c r="AH81" i="2"/>
  <c r="AH108" i="2" s="1"/>
  <c r="AG81" i="2"/>
  <c r="AG108" i="2" s="1"/>
  <c r="AF81" i="2"/>
  <c r="AF108" i="2" s="1"/>
  <c r="AE81" i="2"/>
  <c r="AE108" i="2" s="1"/>
  <c r="AD81" i="2"/>
  <c r="AD108" i="2" s="1"/>
  <c r="AC81" i="2"/>
  <c r="AC108" i="2" s="1"/>
  <c r="AB81" i="2"/>
  <c r="AB108" i="2" s="1"/>
  <c r="AB109" i="2" s="1"/>
  <c r="AA81" i="2"/>
  <c r="AA108" i="2" s="1"/>
  <c r="Z81" i="2"/>
  <c r="Y81" i="2"/>
  <c r="Y108" i="2" s="1"/>
  <c r="Y109" i="2" s="1"/>
  <c r="X81" i="2"/>
  <c r="W81" i="2"/>
  <c r="V81" i="2"/>
  <c r="U81" i="2"/>
  <c r="T81" i="2"/>
  <c r="T108" i="2" s="1"/>
  <c r="S81" i="2"/>
  <c r="R81" i="2"/>
  <c r="R108" i="2" s="1"/>
  <c r="Q81" i="2"/>
  <c r="Q108" i="2" s="1"/>
  <c r="P81" i="2"/>
  <c r="P108" i="2" s="1"/>
  <c r="O81" i="2"/>
  <c r="O108" i="2" s="1"/>
  <c r="N81" i="2"/>
  <c r="N108" i="2" s="1"/>
  <c r="M81" i="2"/>
  <c r="M108" i="2" s="1"/>
  <c r="L81" i="2"/>
  <c r="L108" i="2" s="1"/>
  <c r="L109" i="2" s="1"/>
  <c r="K81" i="2"/>
  <c r="K108" i="2" s="1"/>
  <c r="J81" i="2"/>
  <c r="I81" i="2"/>
  <c r="I108" i="2" s="1"/>
  <c r="I109" i="2" s="1"/>
  <c r="H81" i="2"/>
  <c r="G81" i="2"/>
  <c r="F81" i="2"/>
  <c r="E81" i="2"/>
  <c r="D81" i="2"/>
  <c r="D108" i="2" s="1"/>
  <c r="C81" i="2"/>
  <c r="B81" i="2"/>
  <c r="B108" i="2" s="1"/>
  <c r="CA73" i="2"/>
  <c r="CA109" i="2" s="1"/>
  <c r="CA139" i="2" s="1"/>
  <c r="CA148" i="2" s="1"/>
  <c r="BZ73" i="2"/>
  <c r="BZ109" i="2" s="1"/>
  <c r="BZ139" i="2" s="1"/>
  <c r="BZ148" i="2" s="1"/>
  <c r="BY73" i="2"/>
  <c r="BX73" i="2"/>
  <c r="BW73" i="2"/>
  <c r="BW109" i="2" s="1"/>
  <c r="BW139" i="2" s="1"/>
  <c r="BW148" i="2" s="1"/>
  <c r="BV73" i="2"/>
  <c r="BU73" i="2"/>
  <c r="BT73" i="2"/>
  <c r="BS73" i="2"/>
  <c r="BR73" i="2"/>
  <c r="BQ73" i="2"/>
  <c r="BP73" i="2"/>
  <c r="BO73" i="2"/>
  <c r="BN73" i="2"/>
  <c r="BM73" i="2"/>
  <c r="BL73" i="2"/>
  <c r="BL109" i="2" s="1"/>
  <c r="BL139" i="2" s="1"/>
  <c r="BL148" i="2" s="1"/>
  <c r="BK73" i="2"/>
  <c r="BK109" i="2" s="1"/>
  <c r="BK139" i="2" s="1"/>
  <c r="BK148" i="2" s="1"/>
  <c r="BJ73" i="2"/>
  <c r="BJ109" i="2" s="1"/>
  <c r="BI73" i="2"/>
  <c r="BH73" i="2"/>
  <c r="BG73" i="2"/>
  <c r="BG109" i="2" s="1"/>
  <c r="BG139" i="2" s="1"/>
  <c r="BG148" i="2" s="1"/>
  <c r="BF73" i="2"/>
  <c r="BE73" i="2"/>
  <c r="BD73" i="2"/>
  <c r="BC73" i="2"/>
  <c r="BB73" i="2"/>
  <c r="BA73" i="2"/>
  <c r="AZ73" i="2"/>
  <c r="AZ109" i="2" s="1"/>
  <c r="AZ139" i="2" s="1"/>
  <c r="AZ148" i="2" s="1"/>
  <c r="AY73" i="2"/>
  <c r="AX73" i="2"/>
  <c r="AW73" i="2"/>
  <c r="AV73" i="2"/>
  <c r="AV109" i="2" s="1"/>
  <c r="AV139" i="2" s="1"/>
  <c r="AV148" i="2" s="1"/>
  <c r="AU73" i="2"/>
  <c r="AU109" i="2" s="1"/>
  <c r="AU139" i="2" s="1"/>
  <c r="AU148" i="2" s="1"/>
  <c r="AT73" i="2"/>
  <c r="AT109" i="2" s="1"/>
  <c r="AT139" i="2" s="1"/>
  <c r="AT148" i="2" s="1"/>
  <c r="AS73" i="2"/>
  <c r="AR73" i="2"/>
  <c r="AQ73" i="2"/>
  <c r="AQ109" i="2" s="1"/>
  <c r="AQ139" i="2" s="1"/>
  <c r="AQ148" i="2" s="1"/>
  <c r="AP73" i="2"/>
  <c r="AO73" i="2"/>
  <c r="AN73" i="2"/>
  <c r="AM73" i="2"/>
  <c r="AL73" i="2"/>
  <c r="AK73" i="2"/>
  <c r="AJ73" i="2"/>
  <c r="AI73" i="2"/>
  <c r="AH73" i="2"/>
  <c r="AG73" i="2"/>
  <c r="AF73" i="2"/>
  <c r="AF109" i="2" s="1"/>
  <c r="AF139" i="2" s="1"/>
  <c r="AF148" i="2" s="1"/>
  <c r="AE73" i="2"/>
  <c r="AE109" i="2" s="1"/>
  <c r="AE139" i="2" s="1"/>
  <c r="AE148" i="2" s="1"/>
  <c r="AD73" i="2"/>
  <c r="AD109" i="2" s="1"/>
  <c r="AD139" i="2" s="1"/>
  <c r="AD148" i="2" s="1"/>
  <c r="AC73" i="2"/>
  <c r="AB73" i="2"/>
  <c r="AA73" i="2"/>
  <c r="AA109" i="2" s="1"/>
  <c r="AA139" i="2" s="1"/>
  <c r="AA148" i="2" s="1"/>
  <c r="Z73" i="2"/>
  <c r="Y73" i="2"/>
  <c r="X73" i="2"/>
  <c r="W73" i="2"/>
  <c r="V73" i="2"/>
  <c r="U73" i="2"/>
  <c r="T73" i="2"/>
  <c r="S73" i="2"/>
  <c r="R73" i="2"/>
  <c r="Q73" i="2"/>
  <c r="P73" i="2"/>
  <c r="P109" i="2" s="1"/>
  <c r="P139" i="2" s="1"/>
  <c r="P148" i="2" s="1"/>
  <c r="O73" i="2"/>
  <c r="O109" i="2" s="1"/>
  <c r="O139" i="2" s="1"/>
  <c r="O148" i="2" s="1"/>
  <c r="N73" i="2"/>
  <c r="N109" i="2" s="1"/>
  <c r="N139" i="2" s="1"/>
  <c r="N148" i="2" s="1"/>
  <c r="M73" i="2"/>
  <c r="L73" i="2"/>
  <c r="K73" i="2"/>
  <c r="K109" i="2" s="1"/>
  <c r="K139" i="2" s="1"/>
  <c r="K148" i="2" s="1"/>
  <c r="J73" i="2"/>
  <c r="I73" i="2"/>
  <c r="H73" i="2"/>
  <c r="G73" i="2"/>
  <c r="F73" i="2"/>
  <c r="E73" i="2"/>
  <c r="D73" i="2"/>
  <c r="C73" i="2"/>
  <c r="B73" i="2"/>
  <c r="CA63" i="2"/>
  <c r="BZ63" i="2"/>
  <c r="BY63" i="2"/>
  <c r="BX63" i="2"/>
  <c r="BW63" i="2"/>
  <c r="BV63" i="2"/>
  <c r="BV64" i="2" s="1"/>
  <c r="BU63" i="2"/>
  <c r="BU64" i="2" s="1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F64" i="2" s="1"/>
  <c r="BE63" i="2"/>
  <c r="BE64" i="2" s="1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P64" i="2" s="1"/>
  <c r="AO63" i="2"/>
  <c r="AO64" i="2" s="1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Z64" i="2" s="1"/>
  <c r="Y63" i="2"/>
  <c r="Y64" i="2" s="1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J64" i="2" s="1"/>
  <c r="I63" i="2"/>
  <c r="I64" i="2" s="1"/>
  <c r="H63" i="2"/>
  <c r="G63" i="2"/>
  <c r="F63" i="2"/>
  <c r="E63" i="2"/>
  <c r="D63" i="2"/>
  <c r="C63" i="2"/>
  <c r="B63" i="2"/>
  <c r="BY59" i="2"/>
  <c r="BY64" i="2" s="1"/>
  <c r="BV59" i="2"/>
  <c r="BU59" i="2"/>
  <c r="BT59" i="2"/>
  <c r="BT64" i="2" s="1"/>
  <c r="BS59" i="2"/>
  <c r="BS64" i="2" s="1"/>
  <c r="BL59" i="2"/>
  <c r="BL64" i="2" s="1"/>
  <c r="BI59" i="2"/>
  <c r="BI64" i="2" s="1"/>
  <c r="BF59" i="2"/>
  <c r="BE59" i="2"/>
  <c r="BD59" i="2"/>
  <c r="BD64" i="2" s="1"/>
  <c r="BC59" i="2"/>
  <c r="BC64" i="2" s="1"/>
  <c r="AV59" i="2"/>
  <c r="AV64" i="2" s="1"/>
  <c r="AS59" i="2"/>
  <c r="AS64" i="2" s="1"/>
  <c r="AP59" i="2"/>
  <c r="AO59" i="2"/>
  <c r="AN59" i="2"/>
  <c r="AN64" i="2" s="1"/>
  <c r="AM59" i="2"/>
  <c r="AM64" i="2" s="1"/>
  <c r="AF59" i="2"/>
  <c r="AF64" i="2" s="1"/>
  <c r="AC59" i="2"/>
  <c r="AC64" i="2" s="1"/>
  <c r="Z59" i="2"/>
  <c r="Y59" i="2"/>
  <c r="X59" i="2"/>
  <c r="X64" i="2" s="1"/>
  <c r="W59" i="2"/>
  <c r="W64" i="2" s="1"/>
  <c r="P59" i="2"/>
  <c r="P64" i="2" s="1"/>
  <c r="M59" i="2"/>
  <c r="M64" i="2" s="1"/>
  <c r="J59" i="2"/>
  <c r="I59" i="2"/>
  <c r="H59" i="2"/>
  <c r="H64" i="2" s="1"/>
  <c r="G59" i="2"/>
  <c r="G64" i="2" s="1"/>
  <c r="CA58" i="2"/>
  <c r="CA59" i="2" s="1"/>
  <c r="CA64" i="2" s="1"/>
  <c r="BZ58" i="2"/>
  <c r="BZ59" i="2" s="1"/>
  <c r="BZ64" i="2" s="1"/>
  <c r="BY58" i="2"/>
  <c r="BX58" i="2"/>
  <c r="BX59" i="2" s="1"/>
  <c r="BX64" i="2" s="1"/>
  <c r="BW58" i="2"/>
  <c r="BW59" i="2" s="1"/>
  <c r="BW64" i="2" s="1"/>
  <c r="BV58" i="2"/>
  <c r="BU58" i="2"/>
  <c r="BT58" i="2"/>
  <c r="BS58" i="2"/>
  <c r="BR58" i="2"/>
  <c r="BR59" i="2" s="1"/>
  <c r="BR64" i="2" s="1"/>
  <c r="BQ58" i="2"/>
  <c r="BQ59" i="2" s="1"/>
  <c r="BQ64" i="2" s="1"/>
  <c r="BP58" i="2"/>
  <c r="BP59" i="2" s="1"/>
  <c r="BP64" i="2" s="1"/>
  <c r="BO58" i="2"/>
  <c r="BO59" i="2" s="1"/>
  <c r="BO64" i="2" s="1"/>
  <c r="BN58" i="2"/>
  <c r="BN59" i="2" s="1"/>
  <c r="BN64" i="2" s="1"/>
  <c r="BM58" i="2"/>
  <c r="BM59" i="2" s="1"/>
  <c r="BM64" i="2" s="1"/>
  <c r="BL58" i="2"/>
  <c r="BK58" i="2"/>
  <c r="BK59" i="2" s="1"/>
  <c r="BK64" i="2" s="1"/>
  <c r="BJ58" i="2"/>
  <c r="BJ59" i="2" s="1"/>
  <c r="BJ64" i="2" s="1"/>
  <c r="BI58" i="2"/>
  <c r="BH58" i="2"/>
  <c r="BH59" i="2" s="1"/>
  <c r="BH64" i="2" s="1"/>
  <c r="BG58" i="2"/>
  <c r="BG59" i="2" s="1"/>
  <c r="BG64" i="2" s="1"/>
  <c r="BF58" i="2"/>
  <c r="BE58" i="2"/>
  <c r="BD58" i="2"/>
  <c r="BC58" i="2"/>
  <c r="BB58" i="2"/>
  <c r="BB59" i="2" s="1"/>
  <c r="BB64" i="2" s="1"/>
  <c r="BA58" i="2"/>
  <c r="BA59" i="2" s="1"/>
  <c r="BA64" i="2" s="1"/>
  <c r="AZ58" i="2"/>
  <c r="AZ59" i="2" s="1"/>
  <c r="AZ64" i="2" s="1"/>
  <c r="AY58" i="2"/>
  <c r="AY59" i="2" s="1"/>
  <c r="AY64" i="2" s="1"/>
  <c r="AX58" i="2"/>
  <c r="AX59" i="2" s="1"/>
  <c r="AX64" i="2" s="1"/>
  <c r="AW58" i="2"/>
  <c r="AW59" i="2" s="1"/>
  <c r="AW64" i="2" s="1"/>
  <c r="AV58" i="2"/>
  <c r="AU58" i="2"/>
  <c r="AU59" i="2" s="1"/>
  <c r="AU64" i="2" s="1"/>
  <c r="AT58" i="2"/>
  <c r="AT59" i="2" s="1"/>
  <c r="AT64" i="2" s="1"/>
  <c r="AS58" i="2"/>
  <c r="AR58" i="2"/>
  <c r="AR59" i="2" s="1"/>
  <c r="AR64" i="2" s="1"/>
  <c r="AQ58" i="2"/>
  <c r="AQ59" i="2" s="1"/>
  <c r="AQ64" i="2" s="1"/>
  <c r="AP58" i="2"/>
  <c r="AO58" i="2"/>
  <c r="AN58" i="2"/>
  <c r="AM58" i="2"/>
  <c r="AL58" i="2"/>
  <c r="AL59" i="2" s="1"/>
  <c r="AL64" i="2" s="1"/>
  <c r="AK58" i="2"/>
  <c r="AK59" i="2" s="1"/>
  <c r="AK64" i="2" s="1"/>
  <c r="AJ58" i="2"/>
  <c r="AJ59" i="2" s="1"/>
  <c r="AJ64" i="2" s="1"/>
  <c r="AI58" i="2"/>
  <c r="AI59" i="2" s="1"/>
  <c r="AI64" i="2" s="1"/>
  <c r="AH58" i="2"/>
  <c r="AH59" i="2" s="1"/>
  <c r="AH64" i="2" s="1"/>
  <c r="AG58" i="2"/>
  <c r="AG59" i="2" s="1"/>
  <c r="AG64" i="2" s="1"/>
  <c r="AF58" i="2"/>
  <c r="AE58" i="2"/>
  <c r="AE59" i="2" s="1"/>
  <c r="AE64" i="2" s="1"/>
  <c r="AD58" i="2"/>
  <c r="AD59" i="2" s="1"/>
  <c r="AD64" i="2" s="1"/>
  <c r="AC58" i="2"/>
  <c r="AB58" i="2"/>
  <c r="AB59" i="2" s="1"/>
  <c r="AB64" i="2" s="1"/>
  <c r="AA58" i="2"/>
  <c r="AA59" i="2" s="1"/>
  <c r="AA64" i="2" s="1"/>
  <c r="Z58" i="2"/>
  <c r="Y58" i="2"/>
  <c r="X58" i="2"/>
  <c r="W58" i="2"/>
  <c r="V58" i="2"/>
  <c r="V59" i="2" s="1"/>
  <c r="V64" i="2" s="1"/>
  <c r="U58" i="2"/>
  <c r="U59" i="2" s="1"/>
  <c r="U64" i="2" s="1"/>
  <c r="T58" i="2"/>
  <c r="T59" i="2" s="1"/>
  <c r="T64" i="2" s="1"/>
  <c r="S58" i="2"/>
  <c r="S59" i="2" s="1"/>
  <c r="S64" i="2" s="1"/>
  <c r="R58" i="2"/>
  <c r="R59" i="2" s="1"/>
  <c r="R64" i="2" s="1"/>
  <c r="Q58" i="2"/>
  <c r="Q59" i="2" s="1"/>
  <c r="Q64" i="2" s="1"/>
  <c r="P58" i="2"/>
  <c r="O58" i="2"/>
  <c r="O59" i="2" s="1"/>
  <c r="O64" i="2" s="1"/>
  <c r="N58" i="2"/>
  <c r="N59" i="2" s="1"/>
  <c r="N64" i="2" s="1"/>
  <c r="M58" i="2"/>
  <c r="L58" i="2"/>
  <c r="L59" i="2" s="1"/>
  <c r="L64" i="2" s="1"/>
  <c r="K58" i="2"/>
  <c r="K59" i="2" s="1"/>
  <c r="K64" i="2" s="1"/>
  <c r="J58" i="2"/>
  <c r="I58" i="2"/>
  <c r="H58" i="2"/>
  <c r="G58" i="2"/>
  <c r="F58" i="2"/>
  <c r="F59" i="2" s="1"/>
  <c r="F64" i="2" s="1"/>
  <c r="E58" i="2"/>
  <c r="E59" i="2" s="1"/>
  <c r="E64" i="2" s="1"/>
  <c r="D58" i="2"/>
  <c r="D59" i="2" s="1"/>
  <c r="D64" i="2" s="1"/>
  <c r="C58" i="2"/>
  <c r="C59" i="2" s="1"/>
  <c r="C64" i="2" s="1"/>
  <c r="B58" i="2"/>
  <c r="B59" i="2" s="1"/>
  <c r="B64" i="2" s="1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CA20" i="2"/>
  <c r="CA29" i="2" s="1"/>
  <c r="BZ20" i="2"/>
  <c r="BZ29" i="2" s="1"/>
  <c r="BY20" i="2"/>
  <c r="BY29" i="2" s="1"/>
  <c r="BX20" i="2"/>
  <c r="BX29" i="2" s="1"/>
  <c r="BW20" i="2"/>
  <c r="BW29" i="2" s="1"/>
  <c r="BV20" i="2"/>
  <c r="BV29" i="2" s="1"/>
  <c r="BU20" i="2"/>
  <c r="BU29" i="2" s="1"/>
  <c r="BT20" i="2"/>
  <c r="BT29" i="2" s="1"/>
  <c r="BS20" i="2"/>
  <c r="BS29" i="2" s="1"/>
  <c r="BR20" i="2"/>
  <c r="BR29" i="2" s="1"/>
  <c r="BQ20" i="2"/>
  <c r="BQ29" i="2" s="1"/>
  <c r="BP20" i="2"/>
  <c r="BP29" i="2" s="1"/>
  <c r="BO20" i="2"/>
  <c r="BO29" i="2" s="1"/>
  <c r="BN20" i="2"/>
  <c r="BN29" i="2" s="1"/>
  <c r="BM20" i="2"/>
  <c r="BM29" i="2" s="1"/>
  <c r="BL20" i="2"/>
  <c r="BL29" i="2" s="1"/>
  <c r="BK20" i="2"/>
  <c r="BK29" i="2" s="1"/>
  <c r="BJ20" i="2"/>
  <c r="BJ29" i="2" s="1"/>
  <c r="BI20" i="2"/>
  <c r="BI29" i="2" s="1"/>
  <c r="BH20" i="2"/>
  <c r="BH29" i="2" s="1"/>
  <c r="BG20" i="2"/>
  <c r="BG29" i="2" s="1"/>
  <c r="BF20" i="2"/>
  <c r="BF29" i="2" s="1"/>
  <c r="BE20" i="2"/>
  <c r="BE29" i="2" s="1"/>
  <c r="BD20" i="2"/>
  <c r="BD29" i="2" s="1"/>
  <c r="BC20" i="2"/>
  <c r="BC29" i="2" s="1"/>
  <c r="BB20" i="2"/>
  <c r="BB29" i="2" s="1"/>
  <c r="BA20" i="2"/>
  <c r="BA29" i="2" s="1"/>
  <c r="AZ20" i="2"/>
  <c r="AZ29" i="2" s="1"/>
  <c r="AY20" i="2"/>
  <c r="AY29" i="2" s="1"/>
  <c r="AX20" i="2"/>
  <c r="AX29" i="2" s="1"/>
  <c r="AW20" i="2"/>
  <c r="AW29" i="2" s="1"/>
  <c r="AV20" i="2"/>
  <c r="AV29" i="2" s="1"/>
  <c r="AU20" i="2"/>
  <c r="AU29" i="2" s="1"/>
  <c r="AT20" i="2"/>
  <c r="AT29" i="2" s="1"/>
  <c r="AS20" i="2"/>
  <c r="AS29" i="2" s="1"/>
  <c r="AR20" i="2"/>
  <c r="AR29" i="2" s="1"/>
  <c r="AQ20" i="2"/>
  <c r="AQ29" i="2" s="1"/>
  <c r="AP20" i="2"/>
  <c r="AP29" i="2" s="1"/>
  <c r="AO20" i="2"/>
  <c r="AO29" i="2" s="1"/>
  <c r="AN20" i="2"/>
  <c r="AN29" i="2" s="1"/>
  <c r="AM20" i="2"/>
  <c r="AM29" i="2" s="1"/>
  <c r="AL20" i="2"/>
  <c r="AL29" i="2" s="1"/>
  <c r="AK20" i="2"/>
  <c r="AK29" i="2" s="1"/>
  <c r="AJ20" i="2"/>
  <c r="AJ29" i="2" s="1"/>
  <c r="AI20" i="2"/>
  <c r="AI29" i="2" s="1"/>
  <c r="AH20" i="2"/>
  <c r="AH29" i="2" s="1"/>
  <c r="AG20" i="2"/>
  <c r="AG29" i="2" s="1"/>
  <c r="AF20" i="2"/>
  <c r="AF29" i="2" s="1"/>
  <c r="AE20" i="2"/>
  <c r="AE29" i="2" s="1"/>
  <c r="AD20" i="2"/>
  <c r="AD29" i="2" s="1"/>
  <c r="AC20" i="2"/>
  <c r="AC29" i="2" s="1"/>
  <c r="AB20" i="2"/>
  <c r="AB29" i="2" s="1"/>
  <c r="AA20" i="2"/>
  <c r="AA29" i="2" s="1"/>
  <c r="Z20" i="2"/>
  <c r="Z29" i="2" s="1"/>
  <c r="Y20" i="2"/>
  <c r="Y29" i="2" s="1"/>
  <c r="X20" i="2"/>
  <c r="X29" i="2" s="1"/>
  <c r="W20" i="2"/>
  <c r="W29" i="2" s="1"/>
  <c r="V20" i="2"/>
  <c r="V29" i="2" s="1"/>
  <c r="U20" i="2"/>
  <c r="U29" i="2" s="1"/>
  <c r="T20" i="2"/>
  <c r="T29" i="2" s="1"/>
  <c r="S20" i="2"/>
  <c r="S29" i="2" s="1"/>
  <c r="R20" i="2"/>
  <c r="R29" i="2" s="1"/>
  <c r="Q20" i="2"/>
  <c r="Q29" i="2" s="1"/>
  <c r="P20" i="2"/>
  <c r="P29" i="2" s="1"/>
  <c r="O20" i="2"/>
  <c r="O29" i="2" s="1"/>
  <c r="N20" i="2"/>
  <c r="N29" i="2" s="1"/>
  <c r="M20" i="2"/>
  <c r="M29" i="2" s="1"/>
  <c r="L20" i="2"/>
  <c r="L29" i="2" s="1"/>
  <c r="K20" i="2"/>
  <c r="K29" i="2" s="1"/>
  <c r="J20" i="2"/>
  <c r="J29" i="2" s="1"/>
  <c r="I20" i="2"/>
  <c r="I29" i="2" s="1"/>
  <c r="H20" i="2"/>
  <c r="H29" i="2" s="1"/>
  <c r="G20" i="2"/>
  <c r="G29" i="2" s="1"/>
  <c r="F20" i="2"/>
  <c r="F29" i="2" s="1"/>
  <c r="E20" i="2"/>
  <c r="E29" i="2" s="1"/>
  <c r="D20" i="2"/>
  <c r="D29" i="2" s="1"/>
  <c r="C20" i="2"/>
  <c r="C29" i="2" s="1"/>
  <c r="B20" i="2"/>
  <c r="B29" i="2" s="1"/>
  <c r="CA13" i="2"/>
  <c r="BZ13" i="2"/>
  <c r="BZ30" i="2" s="1"/>
  <c r="BY13" i="2"/>
  <c r="BX13" i="2"/>
  <c r="BW13" i="2"/>
  <c r="BV13" i="2"/>
  <c r="BU13" i="2"/>
  <c r="BU30" i="2" s="1"/>
  <c r="BU65" i="2" s="1"/>
  <c r="BT13" i="2"/>
  <c r="BT30" i="2" s="1"/>
  <c r="BT65" i="2" s="1"/>
  <c r="BS13" i="2"/>
  <c r="BR13" i="2"/>
  <c r="BR30" i="2" s="1"/>
  <c r="BR65" i="2" s="1"/>
  <c r="BQ13" i="2"/>
  <c r="BP13" i="2"/>
  <c r="BO13" i="2"/>
  <c r="BO30" i="2" s="1"/>
  <c r="BO65" i="2" s="1"/>
  <c r="BN13" i="2"/>
  <c r="BN30" i="2" s="1"/>
  <c r="BN65" i="2" s="1"/>
  <c r="BM13" i="2"/>
  <c r="BM30" i="2" s="1"/>
  <c r="BL13" i="2"/>
  <c r="BK13" i="2"/>
  <c r="BJ13" i="2"/>
  <c r="BJ30" i="2" s="1"/>
  <c r="BI13" i="2"/>
  <c r="BH13" i="2"/>
  <c r="BG13" i="2"/>
  <c r="BF13" i="2"/>
  <c r="BE13" i="2"/>
  <c r="BE30" i="2" s="1"/>
  <c r="BE65" i="2" s="1"/>
  <c r="BD13" i="2"/>
  <c r="BD30" i="2" s="1"/>
  <c r="BD65" i="2" s="1"/>
  <c r="BC13" i="2"/>
  <c r="BB13" i="2"/>
  <c r="BB30" i="2" s="1"/>
  <c r="BB65" i="2" s="1"/>
  <c r="BA13" i="2"/>
  <c r="AZ13" i="2"/>
  <c r="AY13" i="2"/>
  <c r="AY30" i="2" s="1"/>
  <c r="AY65" i="2" s="1"/>
  <c r="AX13" i="2"/>
  <c r="AX30" i="2" s="1"/>
  <c r="AX65" i="2" s="1"/>
  <c r="AW13" i="2"/>
  <c r="AW30" i="2" s="1"/>
  <c r="AV13" i="2"/>
  <c r="AU13" i="2"/>
  <c r="AT13" i="2"/>
  <c r="AT30" i="2" s="1"/>
  <c r="AS13" i="2"/>
  <c r="AR13" i="2"/>
  <c r="AQ13" i="2"/>
  <c r="AP13" i="2"/>
  <c r="AO13" i="2"/>
  <c r="AO30" i="2" s="1"/>
  <c r="AO65" i="2" s="1"/>
  <c r="AN13" i="2"/>
  <c r="AN30" i="2" s="1"/>
  <c r="AN65" i="2" s="1"/>
  <c r="AM13" i="2"/>
  <c r="AL13" i="2"/>
  <c r="AL30" i="2" s="1"/>
  <c r="AL65" i="2" s="1"/>
  <c r="AK13" i="2"/>
  <c r="AJ13" i="2"/>
  <c r="AI13" i="2"/>
  <c r="AI30" i="2" s="1"/>
  <c r="AI65" i="2" s="1"/>
  <c r="AH13" i="2"/>
  <c r="AH30" i="2" s="1"/>
  <c r="AH65" i="2" s="1"/>
  <c r="AG13" i="2"/>
  <c r="AG30" i="2" s="1"/>
  <c r="AF13" i="2"/>
  <c r="AE13" i="2"/>
  <c r="AD13" i="2"/>
  <c r="AD30" i="2" s="1"/>
  <c r="AC13" i="2"/>
  <c r="AB13" i="2"/>
  <c r="AA13" i="2"/>
  <c r="Z13" i="2"/>
  <c r="Y13" i="2"/>
  <c r="Y30" i="2" s="1"/>
  <c r="Y65" i="2" s="1"/>
  <c r="X13" i="2"/>
  <c r="X30" i="2" s="1"/>
  <c r="X65" i="2" s="1"/>
  <c r="W13" i="2"/>
  <c r="V13" i="2"/>
  <c r="V30" i="2" s="1"/>
  <c r="V65" i="2" s="1"/>
  <c r="U13" i="2"/>
  <c r="T13" i="2"/>
  <c r="S13" i="2"/>
  <c r="S30" i="2" s="1"/>
  <c r="S65" i="2" s="1"/>
  <c r="R13" i="2"/>
  <c r="R30" i="2" s="1"/>
  <c r="R65" i="2" s="1"/>
  <c r="Q13" i="2"/>
  <c r="Q30" i="2" s="1"/>
  <c r="P13" i="2"/>
  <c r="O13" i="2"/>
  <c r="N13" i="2"/>
  <c r="N30" i="2" s="1"/>
  <c r="M13" i="2"/>
  <c r="L13" i="2"/>
  <c r="K13" i="2"/>
  <c r="J13" i="2"/>
  <c r="I13" i="2"/>
  <c r="I30" i="2" s="1"/>
  <c r="I65" i="2" s="1"/>
  <c r="H13" i="2"/>
  <c r="H30" i="2" s="1"/>
  <c r="H65" i="2" s="1"/>
  <c r="G13" i="2"/>
  <c r="F13" i="2"/>
  <c r="F30" i="2" s="1"/>
  <c r="F65" i="2" s="1"/>
  <c r="E13" i="2"/>
  <c r="D13" i="2"/>
  <c r="C13" i="2"/>
  <c r="C30" i="2" s="1"/>
  <c r="C65" i="2" s="1"/>
  <c r="B13" i="2"/>
  <c r="B30" i="2" s="1"/>
  <c r="B65" i="2" s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Q101" i="1" s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I101" i="1" s="1"/>
  <c r="H42" i="1"/>
  <c r="G42" i="1"/>
  <c r="F42" i="1"/>
  <c r="E42" i="1"/>
  <c r="D42" i="1"/>
  <c r="C42" i="1"/>
  <c r="B42" i="1"/>
  <c r="BF33" i="1"/>
  <c r="BE33" i="1"/>
  <c r="BB33" i="1"/>
  <c r="AO33" i="1"/>
  <c r="J33" i="1"/>
  <c r="CA31" i="1"/>
  <c r="BZ31" i="1"/>
  <c r="BY31" i="1"/>
  <c r="BX31" i="1"/>
  <c r="BW31" i="1"/>
  <c r="BV31" i="1"/>
  <c r="BU31" i="1"/>
  <c r="BT31" i="1"/>
  <c r="BS31" i="1"/>
  <c r="BS33" i="1" s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C33" i="1" s="1"/>
  <c r="BC34" i="1" s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M33" i="1" s="1"/>
  <c r="AM34" i="1" s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W33" i="1" s="1"/>
  <c r="W34" i="1" s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G33" i="1" s="1"/>
  <c r="G34" i="1" s="1"/>
  <c r="F31" i="1"/>
  <c r="E31" i="1"/>
  <c r="D31" i="1"/>
  <c r="C31" i="1"/>
  <c r="B31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P33" i="1" s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Z33" i="1" s="1"/>
  <c r="AY26" i="1"/>
  <c r="AY33" i="1" s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T33" i="1" s="1"/>
  <c r="S26" i="1"/>
  <c r="S33" i="1" s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CA17" i="1"/>
  <c r="CA33" i="1" s="1"/>
  <c r="BZ17" i="1"/>
  <c r="BZ33" i="1" s="1"/>
  <c r="BY17" i="1"/>
  <c r="BY33" i="1" s="1"/>
  <c r="BX17" i="1"/>
  <c r="BW17" i="1"/>
  <c r="BW33" i="1" s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K33" i="1" s="1"/>
  <c r="BJ17" i="1"/>
  <c r="BJ33" i="1" s="1"/>
  <c r="BI17" i="1"/>
  <c r="BI33" i="1" s="1"/>
  <c r="BH17" i="1"/>
  <c r="BG17" i="1"/>
  <c r="BG33" i="1" s="1"/>
  <c r="BF17" i="1"/>
  <c r="BE17" i="1"/>
  <c r="BD17" i="1"/>
  <c r="BC17" i="1"/>
  <c r="BB17" i="1"/>
  <c r="BA17" i="1"/>
  <c r="BA33" i="1" s="1"/>
  <c r="BA34" i="1" s="1"/>
  <c r="AZ17" i="1"/>
  <c r="AY17" i="1"/>
  <c r="AX17" i="1"/>
  <c r="AW17" i="1"/>
  <c r="AV17" i="1"/>
  <c r="AU17" i="1"/>
  <c r="AU33" i="1" s="1"/>
  <c r="AT17" i="1"/>
  <c r="AT33" i="1" s="1"/>
  <c r="AS17" i="1"/>
  <c r="AS33" i="1" s="1"/>
  <c r="AR17" i="1"/>
  <c r="AQ17" i="1"/>
  <c r="AQ33" i="1" s="1"/>
  <c r="AP17" i="1"/>
  <c r="AP33" i="1" s="1"/>
  <c r="AO17" i="1"/>
  <c r="AN17" i="1"/>
  <c r="AN33" i="1" s="1"/>
  <c r="AM17" i="1"/>
  <c r="AL17" i="1"/>
  <c r="AK17" i="1"/>
  <c r="AJ17" i="1"/>
  <c r="AI17" i="1"/>
  <c r="AH17" i="1"/>
  <c r="AG17" i="1"/>
  <c r="AF17" i="1"/>
  <c r="AE17" i="1"/>
  <c r="AE33" i="1" s="1"/>
  <c r="AD17" i="1"/>
  <c r="AD33" i="1" s="1"/>
  <c r="AC17" i="1"/>
  <c r="AC33" i="1" s="1"/>
  <c r="AB17" i="1"/>
  <c r="AA17" i="1"/>
  <c r="AA33" i="1" s="1"/>
  <c r="Z17" i="1"/>
  <c r="Y17" i="1"/>
  <c r="X17" i="1"/>
  <c r="X33" i="1" s="1"/>
  <c r="W17" i="1"/>
  <c r="V17" i="1"/>
  <c r="U17" i="1"/>
  <c r="T17" i="1"/>
  <c r="S17" i="1"/>
  <c r="R17" i="1"/>
  <c r="Q17" i="1"/>
  <c r="P17" i="1"/>
  <c r="O17" i="1"/>
  <c r="O33" i="1" s="1"/>
  <c r="N17" i="1"/>
  <c r="N33" i="1" s="1"/>
  <c r="M17" i="1"/>
  <c r="M33" i="1" s="1"/>
  <c r="L17" i="1"/>
  <c r="K17" i="1"/>
  <c r="K33" i="1" s="1"/>
  <c r="J17" i="1"/>
  <c r="I17" i="1"/>
  <c r="I33" i="1" s="1"/>
  <c r="H17" i="1"/>
  <c r="H33" i="1" s="1"/>
  <c r="H34" i="1" s="1"/>
  <c r="G17" i="1"/>
  <c r="F17" i="1"/>
  <c r="F33" i="1" s="1"/>
  <c r="E17" i="1"/>
  <c r="D17" i="1"/>
  <c r="C17" i="1"/>
  <c r="B17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E34" i="1" s="1"/>
  <c r="BD11" i="1"/>
  <c r="BC11" i="1"/>
  <c r="BB11" i="1"/>
  <c r="BB34" i="1" s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CA34" i="1" l="1"/>
  <c r="K101" i="1"/>
  <c r="P33" i="1"/>
  <c r="AF33" i="1"/>
  <c r="AV33" i="1"/>
  <c r="BL33" i="1"/>
  <c r="D33" i="1"/>
  <c r="U33" i="1"/>
  <c r="U34" i="1" s="1"/>
  <c r="AE101" i="1"/>
  <c r="AJ33" i="1"/>
  <c r="P101" i="1"/>
  <c r="AF101" i="1"/>
  <c r="AV101" i="1"/>
  <c r="BL101" i="1"/>
  <c r="BO33" i="1"/>
  <c r="BO34" i="1" s="1"/>
  <c r="BO102" i="1" s="1"/>
  <c r="BO111" i="1" s="1"/>
  <c r="BO116" i="1" s="1"/>
  <c r="BO119" i="1" s="1"/>
  <c r="BO120" i="1" s="1"/>
  <c r="AK33" i="1"/>
  <c r="AK34" i="1" s="1"/>
  <c r="BQ33" i="1"/>
  <c r="Q101" i="1"/>
  <c r="AG101" i="1"/>
  <c r="AW101" i="1"/>
  <c r="BM101" i="1"/>
  <c r="AU101" i="1"/>
  <c r="V33" i="1"/>
  <c r="AL33" i="1"/>
  <c r="AL34" i="1" s="1"/>
  <c r="AL102" i="1" s="1"/>
  <c r="AL111" i="1" s="1"/>
  <c r="AL116" i="1" s="1"/>
  <c r="AL119" i="1" s="1"/>
  <c r="AL120" i="1" s="1"/>
  <c r="BR33" i="1"/>
  <c r="B101" i="1"/>
  <c r="R101" i="1"/>
  <c r="AH101" i="1"/>
  <c r="AX101" i="1"/>
  <c r="BN101" i="1"/>
  <c r="AI33" i="1"/>
  <c r="AI34" i="1" s="1"/>
  <c r="AI102" i="1" s="1"/>
  <c r="AI111" i="1" s="1"/>
  <c r="AI116" i="1" s="1"/>
  <c r="AI119" i="1" s="1"/>
  <c r="AI120" i="1" s="1"/>
  <c r="O101" i="1"/>
  <c r="C101" i="1"/>
  <c r="S101" i="1"/>
  <c r="AI101" i="1"/>
  <c r="AY101" i="1"/>
  <c r="BO101" i="1"/>
  <c r="BK101" i="1"/>
  <c r="X34" i="1"/>
  <c r="AN34" i="1"/>
  <c r="BD33" i="1"/>
  <c r="BD34" i="1" s="1"/>
  <c r="BT33" i="1"/>
  <c r="BV33" i="1"/>
  <c r="F34" i="1"/>
  <c r="Y33" i="1"/>
  <c r="Y34" i="1" s="1"/>
  <c r="BU33" i="1"/>
  <c r="BU34" i="1" s="1"/>
  <c r="BU102" i="1" s="1"/>
  <c r="BU111" i="1" s="1"/>
  <c r="BU116" i="1" s="1"/>
  <c r="BU119" i="1" s="1"/>
  <c r="BU120" i="1" s="1"/>
  <c r="E33" i="1"/>
  <c r="E34" i="1" s="1"/>
  <c r="V34" i="1"/>
  <c r="C33" i="1"/>
  <c r="AO34" i="1"/>
  <c r="BU101" i="1"/>
  <c r="Q33" i="1"/>
  <c r="Q34" i="1" s="1"/>
  <c r="Q102" i="1" s="1"/>
  <c r="Q111" i="1" s="1"/>
  <c r="Q116" i="1" s="1"/>
  <c r="Q119" i="1" s="1"/>
  <c r="Q120" i="1" s="1"/>
  <c r="B33" i="1"/>
  <c r="AZ101" i="1"/>
  <c r="BR34" i="1"/>
  <c r="Y101" i="1"/>
  <c r="Z33" i="1"/>
  <c r="Z34" i="1" s="1"/>
  <c r="AA101" i="1"/>
  <c r="BG101" i="1"/>
  <c r="BW101" i="1"/>
  <c r="BX101" i="1"/>
  <c r="R33" i="1"/>
  <c r="I34" i="1"/>
  <c r="I102" i="1" s="1"/>
  <c r="I111" i="1" s="1"/>
  <c r="I116" i="1" s="1"/>
  <c r="I119" i="1" s="1"/>
  <c r="I120" i="1" s="1"/>
  <c r="L101" i="1"/>
  <c r="AB101" i="1"/>
  <c r="AR101" i="1"/>
  <c r="BH101" i="1"/>
  <c r="J34" i="1"/>
  <c r="AP34" i="1"/>
  <c r="BF34" i="1"/>
  <c r="BV34" i="1"/>
  <c r="L33" i="1"/>
  <c r="L34" i="1" s="1"/>
  <c r="L102" i="1" s="1"/>
  <c r="L111" i="1" s="1"/>
  <c r="L116" i="1" s="1"/>
  <c r="L119" i="1" s="1"/>
  <c r="L120" i="1" s="1"/>
  <c r="AB33" i="1"/>
  <c r="AB34" i="1" s="1"/>
  <c r="AB102" i="1" s="1"/>
  <c r="AB111" i="1" s="1"/>
  <c r="AB116" i="1" s="1"/>
  <c r="AB119" i="1" s="1"/>
  <c r="AB120" i="1" s="1"/>
  <c r="AR33" i="1"/>
  <c r="AR34" i="1" s="1"/>
  <c r="AR102" i="1" s="1"/>
  <c r="AR111" i="1" s="1"/>
  <c r="AR116" i="1" s="1"/>
  <c r="AR119" i="1" s="1"/>
  <c r="AR120" i="1" s="1"/>
  <c r="BH33" i="1"/>
  <c r="BH34" i="1" s="1"/>
  <c r="BH102" i="1" s="1"/>
  <c r="BH111" i="1" s="1"/>
  <c r="BH116" i="1" s="1"/>
  <c r="BH119" i="1" s="1"/>
  <c r="BH120" i="1" s="1"/>
  <c r="BX33" i="1"/>
  <c r="M101" i="1"/>
  <c r="N101" i="1"/>
  <c r="AD101" i="1"/>
  <c r="AT101" i="1"/>
  <c r="BJ101" i="1"/>
  <c r="BZ101" i="1"/>
  <c r="BY34" i="1"/>
  <c r="CA101" i="1"/>
  <c r="CA102" i="1" s="1"/>
  <c r="CA111" i="1" s="1"/>
  <c r="CA116" i="1" s="1"/>
  <c r="CA119" i="1" s="1"/>
  <c r="CA120" i="1" s="1"/>
  <c r="AH33" i="1"/>
  <c r="AG33" i="1"/>
  <c r="AG34" i="1" s="1"/>
  <c r="AG102" i="1" s="1"/>
  <c r="AG111" i="1" s="1"/>
  <c r="AG116" i="1" s="1"/>
  <c r="AG119" i="1" s="1"/>
  <c r="AG120" i="1" s="1"/>
  <c r="AV34" i="1"/>
  <c r="BQ101" i="1"/>
  <c r="D101" i="1"/>
  <c r="BP101" i="1"/>
  <c r="U101" i="1"/>
  <c r="AK101" i="1"/>
  <c r="C34" i="1"/>
  <c r="C102" i="1" s="1"/>
  <c r="C111" i="1" s="1"/>
  <c r="C116" i="1" s="1"/>
  <c r="C119" i="1" s="1"/>
  <c r="C120" i="1" s="1"/>
  <c r="S34" i="1"/>
  <c r="S102" i="1" s="1"/>
  <c r="S111" i="1" s="1"/>
  <c r="S116" i="1" s="1"/>
  <c r="S119" i="1" s="1"/>
  <c r="S120" i="1" s="1"/>
  <c r="AY34" i="1"/>
  <c r="AY102" i="1" s="1"/>
  <c r="AY111" i="1" s="1"/>
  <c r="AY116" i="1" s="1"/>
  <c r="AY119" i="1" s="1"/>
  <c r="AY120" i="1" s="1"/>
  <c r="F101" i="1"/>
  <c r="V101" i="1"/>
  <c r="AL101" i="1"/>
  <c r="BB101" i="1"/>
  <c r="BB102" i="1" s="1"/>
  <c r="BB111" i="1" s="1"/>
  <c r="BB116" i="1" s="1"/>
  <c r="BB119" i="1" s="1"/>
  <c r="BB120" i="1" s="1"/>
  <c r="BR101" i="1"/>
  <c r="AF34" i="1"/>
  <c r="AF102" i="1" s="1"/>
  <c r="AF111" i="1" s="1"/>
  <c r="AF116" i="1" s="1"/>
  <c r="AF119" i="1" s="1"/>
  <c r="AF120" i="1" s="1"/>
  <c r="BS101" i="1"/>
  <c r="BM33" i="1"/>
  <c r="BM34" i="1" s="1"/>
  <c r="BM102" i="1" s="1"/>
  <c r="BM111" i="1" s="1"/>
  <c r="BM116" i="1" s="1"/>
  <c r="BM119" i="1" s="1"/>
  <c r="BM120" i="1" s="1"/>
  <c r="BN33" i="1"/>
  <c r="BN34" i="1" s="1"/>
  <c r="BN102" i="1" s="1"/>
  <c r="BN111" i="1" s="1"/>
  <c r="BN116" i="1" s="1"/>
  <c r="BN119" i="1" s="1"/>
  <c r="BN120" i="1" s="1"/>
  <c r="AJ101" i="1"/>
  <c r="E101" i="1"/>
  <c r="BA101" i="1"/>
  <c r="BA102" i="1" s="1"/>
  <c r="BA111" i="1" s="1"/>
  <c r="BA116" i="1" s="1"/>
  <c r="BA119" i="1" s="1"/>
  <c r="BA120" i="1" s="1"/>
  <c r="D34" i="1"/>
  <c r="T34" i="1"/>
  <c r="T102" i="1" s="1"/>
  <c r="T111" i="1" s="1"/>
  <c r="T116" i="1" s="1"/>
  <c r="T119" i="1" s="1"/>
  <c r="T120" i="1" s="1"/>
  <c r="AJ34" i="1"/>
  <c r="AJ102" i="1" s="1"/>
  <c r="AJ111" i="1" s="1"/>
  <c r="AJ116" i="1" s="1"/>
  <c r="AJ119" i="1" s="1"/>
  <c r="AJ120" i="1" s="1"/>
  <c r="AZ34" i="1"/>
  <c r="AZ102" i="1" s="1"/>
  <c r="AZ111" i="1" s="1"/>
  <c r="AZ116" i="1" s="1"/>
  <c r="AZ119" i="1" s="1"/>
  <c r="AZ120" i="1" s="1"/>
  <c r="BP34" i="1"/>
  <c r="G101" i="1"/>
  <c r="G102" i="1" s="1"/>
  <c r="G111" i="1" s="1"/>
  <c r="G116" i="1" s="1"/>
  <c r="G119" i="1" s="1"/>
  <c r="G120" i="1" s="1"/>
  <c r="W101" i="1"/>
  <c r="W102" i="1" s="1"/>
  <c r="W111" i="1" s="1"/>
  <c r="W116" i="1" s="1"/>
  <c r="W119" i="1" s="1"/>
  <c r="W120" i="1" s="1"/>
  <c r="AM101" i="1"/>
  <c r="AM102" i="1" s="1"/>
  <c r="AM111" i="1" s="1"/>
  <c r="AM116" i="1" s="1"/>
  <c r="AM119" i="1" s="1"/>
  <c r="AM120" i="1" s="1"/>
  <c r="BC101" i="1"/>
  <c r="BC102" i="1" s="1"/>
  <c r="BC111" i="1" s="1"/>
  <c r="BC116" i="1" s="1"/>
  <c r="BC119" i="1" s="1"/>
  <c r="BC120" i="1" s="1"/>
  <c r="AW33" i="1"/>
  <c r="AW34" i="1" s="1"/>
  <c r="AW102" i="1" s="1"/>
  <c r="AW111" i="1" s="1"/>
  <c r="AW116" i="1" s="1"/>
  <c r="AW119" i="1" s="1"/>
  <c r="AW120" i="1" s="1"/>
  <c r="P34" i="1"/>
  <c r="P102" i="1" s="1"/>
  <c r="P111" i="1" s="1"/>
  <c r="P116" i="1" s="1"/>
  <c r="P119" i="1" s="1"/>
  <c r="P120" i="1" s="1"/>
  <c r="AX33" i="1"/>
  <c r="AX34" i="1" s="1"/>
  <c r="AX102" i="1" s="1"/>
  <c r="AX111" i="1" s="1"/>
  <c r="AX116" i="1" s="1"/>
  <c r="AX119" i="1" s="1"/>
  <c r="AX120" i="1" s="1"/>
  <c r="T101" i="1"/>
  <c r="AO101" i="1"/>
  <c r="AO102" i="1" s="1"/>
  <c r="AO111" i="1" s="1"/>
  <c r="AO116" i="1" s="1"/>
  <c r="AO119" i="1" s="1"/>
  <c r="AO120" i="1" s="1"/>
  <c r="BE101" i="1"/>
  <c r="BE102" i="1" s="1"/>
  <c r="BE111" i="1" s="1"/>
  <c r="BE116" i="1" s="1"/>
  <c r="BE119" i="1" s="1"/>
  <c r="BE120" i="1" s="1"/>
  <c r="BS34" i="1"/>
  <c r="BV101" i="1"/>
  <c r="J30" i="2"/>
  <c r="J65" i="2" s="1"/>
  <c r="Z30" i="2"/>
  <c r="Z65" i="2" s="1"/>
  <c r="AP30" i="2"/>
  <c r="AP65" i="2" s="1"/>
  <c r="BF30" i="2"/>
  <c r="BF65" i="2" s="1"/>
  <c r="BV30" i="2"/>
  <c r="BV65" i="2" s="1"/>
  <c r="I139" i="2"/>
  <c r="I148" i="2" s="1"/>
  <c r="Y139" i="2"/>
  <c r="Y148" i="2" s="1"/>
  <c r="AO139" i="2"/>
  <c r="AO148" i="2" s="1"/>
  <c r="BE139" i="2"/>
  <c r="BE148" i="2" s="1"/>
  <c r="BU139" i="2"/>
  <c r="BU148" i="2" s="1"/>
  <c r="K30" i="2"/>
  <c r="K65" i="2" s="1"/>
  <c r="AA30" i="2"/>
  <c r="AA65" i="2" s="1"/>
  <c r="AQ30" i="2"/>
  <c r="AQ65" i="2" s="1"/>
  <c r="BG30" i="2"/>
  <c r="BG65" i="2" s="1"/>
  <c r="BW30" i="2"/>
  <c r="BW65" i="2" s="1"/>
  <c r="L30" i="2"/>
  <c r="L65" i="2" s="1"/>
  <c r="AB30" i="2"/>
  <c r="AB65" i="2" s="1"/>
  <c r="AR30" i="2"/>
  <c r="AR65" i="2" s="1"/>
  <c r="BH30" i="2"/>
  <c r="BH65" i="2" s="1"/>
  <c r="BX30" i="2"/>
  <c r="BX65" i="2" s="1"/>
  <c r="J139" i="2"/>
  <c r="J148" i="2" s="1"/>
  <c r="M30" i="2"/>
  <c r="M65" i="2" s="1"/>
  <c r="AC30" i="2"/>
  <c r="AC65" i="2" s="1"/>
  <c r="AS30" i="2"/>
  <c r="AS65" i="2" s="1"/>
  <c r="BI30" i="2"/>
  <c r="BI65" i="2" s="1"/>
  <c r="BY30" i="2"/>
  <c r="BY65" i="2" s="1"/>
  <c r="L139" i="2"/>
  <c r="L148" i="2" s="1"/>
  <c r="AB139" i="2"/>
  <c r="AB148" i="2" s="1"/>
  <c r="AR139" i="2"/>
  <c r="AR148" i="2" s="1"/>
  <c r="BH139" i="2"/>
  <c r="BH148" i="2" s="1"/>
  <c r="BX139" i="2"/>
  <c r="BX148" i="2" s="1"/>
  <c r="Z139" i="2"/>
  <c r="Z148" i="2" s="1"/>
  <c r="N65" i="2"/>
  <c r="AD65" i="2"/>
  <c r="AT65" i="2"/>
  <c r="BJ65" i="2"/>
  <c r="BZ65" i="2"/>
  <c r="AP139" i="2"/>
  <c r="AP148" i="2" s="1"/>
  <c r="O30" i="2"/>
  <c r="O65" i="2" s="1"/>
  <c r="AE30" i="2"/>
  <c r="AE65" i="2" s="1"/>
  <c r="AU30" i="2"/>
  <c r="AU65" i="2" s="1"/>
  <c r="BK30" i="2"/>
  <c r="BK65" i="2" s="1"/>
  <c r="CA30" i="2"/>
  <c r="CA65" i="2" s="1"/>
  <c r="BF139" i="2"/>
  <c r="BF148" i="2" s="1"/>
  <c r="P30" i="2"/>
  <c r="P65" i="2" s="1"/>
  <c r="AF30" i="2"/>
  <c r="AF65" i="2" s="1"/>
  <c r="AV30" i="2"/>
  <c r="AV65" i="2" s="1"/>
  <c r="BL30" i="2"/>
  <c r="BL65" i="2" s="1"/>
  <c r="M109" i="2"/>
  <c r="M139" i="2" s="1"/>
  <c r="M148" i="2" s="1"/>
  <c r="AC109" i="2"/>
  <c r="AC139" i="2" s="1"/>
  <c r="AC148" i="2" s="1"/>
  <c r="AS109" i="2"/>
  <c r="AS139" i="2" s="1"/>
  <c r="AS148" i="2" s="1"/>
  <c r="BI109" i="2"/>
  <c r="BI139" i="2" s="1"/>
  <c r="BI148" i="2" s="1"/>
  <c r="BY109" i="2"/>
  <c r="BY139" i="2" s="1"/>
  <c r="BY148" i="2" s="1"/>
  <c r="BV139" i="2"/>
  <c r="BV148" i="2" s="1"/>
  <c r="Q65" i="2"/>
  <c r="AG65" i="2"/>
  <c r="AW65" i="2"/>
  <c r="BM65" i="2"/>
  <c r="BJ139" i="2"/>
  <c r="BJ148" i="2" s="1"/>
  <c r="D30" i="2"/>
  <c r="D65" i="2" s="1"/>
  <c r="T30" i="2"/>
  <c r="T65" i="2" s="1"/>
  <c r="AJ30" i="2"/>
  <c r="AJ65" i="2" s="1"/>
  <c r="AZ30" i="2"/>
  <c r="AZ65" i="2" s="1"/>
  <c r="BP30" i="2"/>
  <c r="BP65" i="2" s="1"/>
  <c r="Q109" i="2"/>
  <c r="Q139" i="2" s="1"/>
  <c r="Q148" i="2" s="1"/>
  <c r="AG109" i="2"/>
  <c r="AG139" i="2" s="1"/>
  <c r="AG148" i="2" s="1"/>
  <c r="AW109" i="2"/>
  <c r="AW139" i="2" s="1"/>
  <c r="AW148" i="2" s="1"/>
  <c r="BM109" i="2"/>
  <c r="BM139" i="2" s="1"/>
  <c r="BM148" i="2" s="1"/>
  <c r="E30" i="2"/>
  <c r="E65" i="2" s="1"/>
  <c r="U30" i="2"/>
  <c r="U65" i="2" s="1"/>
  <c r="AK30" i="2"/>
  <c r="AK65" i="2" s="1"/>
  <c r="BA30" i="2"/>
  <c r="BA65" i="2" s="1"/>
  <c r="BQ30" i="2"/>
  <c r="BQ65" i="2" s="1"/>
  <c r="B109" i="2"/>
  <c r="B139" i="2" s="1"/>
  <c r="B148" i="2" s="1"/>
  <c r="R109" i="2"/>
  <c r="R139" i="2" s="1"/>
  <c r="R148" i="2" s="1"/>
  <c r="AH109" i="2"/>
  <c r="AH139" i="2" s="1"/>
  <c r="AH148" i="2" s="1"/>
  <c r="AX109" i="2"/>
  <c r="AX139" i="2" s="1"/>
  <c r="AX148" i="2" s="1"/>
  <c r="BN109" i="2"/>
  <c r="BN139" i="2" s="1"/>
  <c r="BN148" i="2" s="1"/>
  <c r="C109" i="2"/>
  <c r="C139" i="2" s="1"/>
  <c r="C148" i="2" s="1"/>
  <c r="S109" i="2"/>
  <c r="S139" i="2" s="1"/>
  <c r="S148" i="2" s="1"/>
  <c r="AI109" i="2"/>
  <c r="AI139" i="2" s="1"/>
  <c r="AI148" i="2" s="1"/>
  <c r="AY109" i="2"/>
  <c r="AY139" i="2" s="1"/>
  <c r="AY148" i="2" s="1"/>
  <c r="BO109" i="2"/>
  <c r="BO139" i="2" s="1"/>
  <c r="BO148" i="2" s="1"/>
  <c r="G30" i="2"/>
  <c r="G65" i="2" s="1"/>
  <c r="W30" i="2"/>
  <c r="W65" i="2" s="1"/>
  <c r="AM30" i="2"/>
  <c r="AM65" i="2" s="1"/>
  <c r="BC30" i="2"/>
  <c r="BC65" i="2" s="1"/>
  <c r="BS30" i="2"/>
  <c r="BS65" i="2" s="1"/>
  <c r="D109" i="2"/>
  <c r="D139" i="2" s="1"/>
  <c r="D148" i="2" s="1"/>
  <c r="T109" i="2"/>
  <c r="T139" i="2" s="1"/>
  <c r="T148" i="2" s="1"/>
  <c r="AJ109" i="2"/>
  <c r="AJ139" i="2" s="1"/>
  <c r="AJ148" i="2" s="1"/>
  <c r="BP109" i="2"/>
  <c r="BP139" i="2" s="1"/>
  <c r="BP148" i="2" s="1"/>
  <c r="K34" i="1"/>
  <c r="K102" i="1" s="1"/>
  <c r="K111" i="1" s="1"/>
  <c r="K116" i="1" s="1"/>
  <c r="K119" i="1" s="1"/>
  <c r="K120" i="1" s="1"/>
  <c r="AC34" i="1"/>
  <c r="AD34" i="1"/>
  <c r="AD102" i="1" s="1"/>
  <c r="AD111" i="1" s="1"/>
  <c r="AD116" i="1" s="1"/>
  <c r="AD119" i="1" s="1"/>
  <c r="AD120" i="1" s="1"/>
  <c r="BJ34" i="1"/>
  <c r="BJ102" i="1" s="1"/>
  <c r="BJ111" i="1" s="1"/>
  <c r="BJ116" i="1" s="1"/>
  <c r="BJ119" i="1" s="1"/>
  <c r="BJ120" i="1" s="1"/>
  <c r="M34" i="1"/>
  <c r="M102" i="1" s="1"/>
  <c r="M111" i="1" s="1"/>
  <c r="M116" i="1" s="1"/>
  <c r="M119" i="1" s="1"/>
  <c r="M120" i="1" s="1"/>
  <c r="AS34" i="1"/>
  <c r="BI34" i="1"/>
  <c r="N34" i="1"/>
  <c r="AT34" i="1"/>
  <c r="O34" i="1"/>
  <c r="AE34" i="1"/>
  <c r="AE102" i="1" s="1"/>
  <c r="AE111" i="1" s="1"/>
  <c r="AE116" i="1" s="1"/>
  <c r="AE119" i="1" s="1"/>
  <c r="AE120" i="1" s="1"/>
  <c r="AU34" i="1"/>
  <c r="AU102" i="1" s="1"/>
  <c r="AU111" i="1" s="1"/>
  <c r="AU116" i="1" s="1"/>
  <c r="AU119" i="1" s="1"/>
  <c r="AU120" i="1" s="1"/>
  <c r="BK34" i="1"/>
  <c r="BK102" i="1" s="1"/>
  <c r="BK111" i="1" s="1"/>
  <c r="BK116" i="1" s="1"/>
  <c r="BK119" i="1" s="1"/>
  <c r="BK120" i="1" s="1"/>
  <c r="AQ34" i="1"/>
  <c r="AQ102" i="1" s="1"/>
  <c r="AQ111" i="1" s="1"/>
  <c r="AQ116" i="1" s="1"/>
  <c r="AQ119" i="1" s="1"/>
  <c r="AQ120" i="1" s="1"/>
  <c r="BL34" i="1"/>
  <c r="BW34" i="1"/>
  <c r="B34" i="1"/>
  <c r="R34" i="1"/>
  <c r="R102" i="1" s="1"/>
  <c r="R111" i="1" s="1"/>
  <c r="R116" i="1" s="1"/>
  <c r="R119" i="1" s="1"/>
  <c r="R120" i="1" s="1"/>
  <c r="AH34" i="1"/>
  <c r="AA34" i="1"/>
  <c r="BG34" i="1"/>
  <c r="BZ34" i="1"/>
  <c r="H101" i="1"/>
  <c r="H102" i="1" s="1"/>
  <c r="H111" i="1" s="1"/>
  <c r="H116" i="1" s="1"/>
  <c r="H119" i="1" s="1"/>
  <c r="H120" i="1" s="1"/>
  <c r="X101" i="1"/>
  <c r="X102" i="1" s="1"/>
  <c r="X111" i="1" s="1"/>
  <c r="X116" i="1" s="1"/>
  <c r="X119" i="1" s="1"/>
  <c r="X120" i="1" s="1"/>
  <c r="AN101" i="1"/>
  <c r="AN102" i="1" s="1"/>
  <c r="AN111" i="1" s="1"/>
  <c r="AN116" i="1" s="1"/>
  <c r="AN119" i="1" s="1"/>
  <c r="AN120" i="1" s="1"/>
  <c r="BD101" i="1"/>
  <c r="BD102" i="1" s="1"/>
  <c r="BD111" i="1" s="1"/>
  <c r="BD116" i="1" s="1"/>
  <c r="BD119" i="1" s="1"/>
  <c r="BD120" i="1" s="1"/>
  <c r="BT101" i="1"/>
  <c r="BX34" i="1"/>
  <c r="BQ34" i="1"/>
  <c r="J101" i="1"/>
  <c r="J102" i="1" s="1"/>
  <c r="J111" i="1" s="1"/>
  <c r="J116" i="1" s="1"/>
  <c r="J119" i="1" s="1"/>
  <c r="J120" i="1" s="1"/>
  <c r="Z101" i="1"/>
  <c r="AP101" i="1"/>
  <c r="BF101" i="1"/>
  <c r="AC101" i="1"/>
  <c r="AS101" i="1"/>
  <c r="BI101" i="1"/>
  <c r="BY101" i="1"/>
  <c r="BT34" i="1"/>
  <c r="BR102" i="1" l="1"/>
  <c r="BR111" i="1" s="1"/>
  <c r="BR116" i="1" s="1"/>
  <c r="BR119" i="1" s="1"/>
  <c r="BR120" i="1" s="1"/>
  <c r="V102" i="1"/>
  <c r="V111" i="1" s="1"/>
  <c r="V116" i="1" s="1"/>
  <c r="V119" i="1" s="1"/>
  <c r="V120" i="1" s="1"/>
  <c r="F102" i="1"/>
  <c r="F111" i="1" s="1"/>
  <c r="F116" i="1" s="1"/>
  <c r="F119" i="1" s="1"/>
  <c r="F120" i="1" s="1"/>
  <c r="B102" i="1"/>
  <c r="B111" i="1" s="1"/>
  <c r="B116" i="1" s="1"/>
  <c r="B119" i="1" s="1"/>
  <c r="B120" i="1" s="1"/>
  <c r="D102" i="1"/>
  <c r="D111" i="1" s="1"/>
  <c r="D116" i="1" s="1"/>
  <c r="D119" i="1" s="1"/>
  <c r="D120" i="1" s="1"/>
  <c r="AV102" i="1"/>
  <c r="AV111" i="1" s="1"/>
  <c r="AV116" i="1" s="1"/>
  <c r="AV119" i="1" s="1"/>
  <c r="AV120" i="1" s="1"/>
  <c r="BW102" i="1"/>
  <c r="BW111" i="1" s="1"/>
  <c r="BW116" i="1" s="1"/>
  <c r="BW119" i="1" s="1"/>
  <c r="BW120" i="1" s="1"/>
  <c r="BS102" i="1"/>
  <c r="BS111" i="1" s="1"/>
  <c r="BS116" i="1" s="1"/>
  <c r="BS119" i="1" s="1"/>
  <c r="BS120" i="1" s="1"/>
  <c r="BL102" i="1"/>
  <c r="BL111" i="1" s="1"/>
  <c r="BL116" i="1" s="1"/>
  <c r="BL119" i="1" s="1"/>
  <c r="BL120" i="1" s="1"/>
  <c r="E102" i="1"/>
  <c r="E111" i="1" s="1"/>
  <c r="E116" i="1" s="1"/>
  <c r="E119" i="1" s="1"/>
  <c r="E120" i="1" s="1"/>
  <c r="O102" i="1"/>
  <c r="O111" i="1" s="1"/>
  <c r="O116" i="1" s="1"/>
  <c r="O119" i="1" s="1"/>
  <c r="O120" i="1" s="1"/>
  <c r="BG102" i="1"/>
  <c r="BG111" i="1" s="1"/>
  <c r="BG116" i="1" s="1"/>
  <c r="BG119" i="1" s="1"/>
  <c r="BG120" i="1" s="1"/>
  <c r="AK102" i="1"/>
  <c r="AK111" i="1" s="1"/>
  <c r="AK116" i="1" s="1"/>
  <c r="AK119" i="1" s="1"/>
  <c r="AK120" i="1" s="1"/>
  <c r="AH102" i="1"/>
  <c r="AH111" i="1" s="1"/>
  <c r="AH116" i="1" s="1"/>
  <c r="AH119" i="1" s="1"/>
  <c r="AH120" i="1" s="1"/>
  <c r="BQ102" i="1"/>
  <c r="BQ111" i="1" s="1"/>
  <c r="BQ116" i="1" s="1"/>
  <c r="BQ119" i="1" s="1"/>
  <c r="BQ120" i="1" s="1"/>
  <c r="BX102" i="1"/>
  <c r="BX111" i="1" s="1"/>
  <c r="BX116" i="1" s="1"/>
  <c r="BX119" i="1" s="1"/>
  <c r="BX120" i="1" s="1"/>
  <c r="U102" i="1"/>
  <c r="U111" i="1" s="1"/>
  <c r="U116" i="1" s="1"/>
  <c r="U119" i="1" s="1"/>
  <c r="U120" i="1" s="1"/>
  <c r="BY102" i="1"/>
  <c r="BY111" i="1" s="1"/>
  <c r="BY116" i="1" s="1"/>
  <c r="BY119" i="1" s="1"/>
  <c r="BY120" i="1" s="1"/>
  <c r="BZ102" i="1"/>
  <c r="BZ111" i="1" s="1"/>
  <c r="BZ116" i="1" s="1"/>
  <c r="BZ119" i="1" s="1"/>
  <c r="BZ120" i="1" s="1"/>
  <c r="Y102" i="1"/>
  <c r="Y111" i="1" s="1"/>
  <c r="Y116" i="1" s="1"/>
  <c r="Y119" i="1" s="1"/>
  <c r="Y120" i="1" s="1"/>
  <c r="AT102" i="1"/>
  <c r="AT111" i="1" s="1"/>
  <c r="AT116" i="1" s="1"/>
  <c r="AT119" i="1" s="1"/>
  <c r="AT120" i="1" s="1"/>
  <c r="N102" i="1"/>
  <c r="N111" i="1" s="1"/>
  <c r="N116" i="1" s="1"/>
  <c r="N119" i="1" s="1"/>
  <c r="N120" i="1" s="1"/>
  <c r="BF102" i="1"/>
  <c r="BF111" i="1" s="1"/>
  <c r="BF116" i="1" s="1"/>
  <c r="BF119" i="1" s="1"/>
  <c r="BF120" i="1" s="1"/>
  <c r="AP102" i="1"/>
  <c r="AP111" i="1" s="1"/>
  <c r="AP116" i="1" s="1"/>
  <c r="AP119" i="1" s="1"/>
  <c r="AP120" i="1" s="1"/>
  <c r="AA102" i="1"/>
  <c r="AA111" i="1" s="1"/>
  <c r="AA116" i="1" s="1"/>
  <c r="AA119" i="1" s="1"/>
  <c r="AA120" i="1" s="1"/>
  <c r="BP102" i="1"/>
  <c r="BP111" i="1" s="1"/>
  <c r="BP116" i="1" s="1"/>
  <c r="BP119" i="1" s="1"/>
  <c r="BP120" i="1" s="1"/>
  <c r="BV102" i="1"/>
  <c r="BV111" i="1" s="1"/>
  <c r="BV116" i="1" s="1"/>
  <c r="BV119" i="1" s="1"/>
  <c r="BV120" i="1" s="1"/>
  <c r="AS102" i="1"/>
  <c r="AS111" i="1" s="1"/>
  <c r="AS116" i="1" s="1"/>
  <c r="AS119" i="1" s="1"/>
  <c r="AS120" i="1" s="1"/>
  <c r="BI102" i="1"/>
  <c r="BI111" i="1" s="1"/>
  <c r="BI116" i="1" s="1"/>
  <c r="BI119" i="1" s="1"/>
  <c r="BI120" i="1" s="1"/>
  <c r="AC102" i="1"/>
  <c r="AC111" i="1" s="1"/>
  <c r="AC116" i="1" s="1"/>
  <c r="AC119" i="1" s="1"/>
  <c r="AC120" i="1" s="1"/>
  <c r="BT102" i="1"/>
  <c r="BT111" i="1" s="1"/>
  <c r="BT116" i="1" s="1"/>
  <c r="BT119" i="1" s="1"/>
  <c r="BT120" i="1" s="1"/>
  <c r="Z102" i="1"/>
  <c r="Z111" i="1" s="1"/>
  <c r="Z116" i="1" s="1"/>
  <c r="Z119" i="1" s="1"/>
  <c r="Z120" i="1" s="1"/>
</calcChain>
</file>

<file path=xl/sharedStrings.xml><?xml version="1.0" encoding="utf-8"?>
<sst xmlns="http://schemas.openxmlformats.org/spreadsheetml/2006/main" count="426" uniqueCount="335">
  <si>
    <t>Financials</t>
  </si>
  <si>
    <t/>
  </si>
  <si>
    <t>MJV Plumbing Services Pty Ltd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</si>
  <si>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</si>
  <si>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</si>
  <si>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</si>
  <si>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</si>
  <si>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</si>
  <si>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</si>
  <si>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</si>
  <si>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</si>
  <si>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</si>
  <si>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</si>
  <si>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</si>
  <si>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</si>
  <si>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</si>
  <si>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</si>
  <si>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</si>
  <si>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</si>
  <si>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</si>
  <si>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</si>
  <si>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</si>
  <si>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</si>
  <si>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</si>
  <si>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</si>
  <si>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</si>
  <si>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</si>
  <si>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</si>
  <si>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</si>
  <si>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</si>
  <si>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</si>
  <si>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</si>
  <si>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</si>
  <si>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</si>
  <si>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</si>
  <si>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</si>
  <si>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</si>
  <si>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</si>
  <si>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</si>
  <si>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</si>
  <si>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</si>
  <si>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</si>
  <si>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</si>
  <si>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</si>
  <si>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</si>
  <si>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</si>
  <si>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</si>
  <si>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</si>
  <si>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</si>
  <si>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</si>
  <si>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</si>
  <si>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</si>
  <si>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</si>
  <si>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</si>
  <si>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</si>
  <si>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</si>
  <si>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</si>
  <si>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</si>
  <si>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</si>
  <si>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</si>
  <si>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</si>
  <si>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</si>
  <si>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</si>
  <si>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</si>
  <si>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</si>
  <si>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</si>
  <si>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</si>
  <si>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</si>
  <si>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</si>
  <si>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</si>
  <si>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</si>
  <si>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</si>
  <si>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</si>
  <si>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</si>
  <si>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</si>
  <si>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</si>
  <si>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</si>
  <si>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</si>
  <si>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</si>
  <si>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</si>
  <si>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</si>
  <si>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PROFIT &amp; LOSS</t>
  </si>
  <si>
    <t>Revenue</t>
  </si>
  <si>
    <t>Other operating expenses</t>
  </si>
  <si>
    <t>Other Revenue</t>
  </si>
  <si>
    <t>Plumbing sales</t>
  </si>
  <si>
    <t>Sales</t>
  </si>
  <si>
    <t>Irrigation sales</t>
  </si>
  <si>
    <t>Irrigation Sales</t>
  </si>
  <si>
    <t>Total Revenue</t>
  </si>
  <si>
    <t>Cost of Sales</t>
  </si>
  <si>
    <t>Materials</t>
  </si>
  <si>
    <t>Cost of Goods Sold</t>
  </si>
  <si>
    <t>Materials Irrigation</t>
  </si>
  <si>
    <t>Total Materials</t>
  </si>
  <si>
    <t>Job related expenses</t>
  </si>
  <si>
    <t>Plumbing Commission</t>
  </si>
  <si>
    <t>Tools and Equipment</t>
  </si>
  <si>
    <t>Contractors</t>
  </si>
  <si>
    <t>Rubbish removal</t>
  </si>
  <si>
    <t>Equipment Hire</t>
  </si>
  <si>
    <t>Permits and Plans</t>
  </si>
  <si>
    <t>Traffic Control</t>
  </si>
  <si>
    <t>Total Job related expenses</t>
  </si>
  <si>
    <t>Bad debts plus recovery expenses</t>
  </si>
  <si>
    <t>Bad Debts</t>
  </si>
  <si>
    <t>Deed of Settlement - Hammertime</t>
  </si>
  <si>
    <t>Debt collection costs</t>
  </si>
  <si>
    <t>Total Bad debts plus recovery expenses</t>
  </si>
  <si>
    <t>On Costs for MVW for invoicing out</t>
  </si>
  <si>
    <t>Total Cost of Sales</t>
  </si>
  <si>
    <t>Gross Profit</t>
  </si>
  <si>
    <t>Expenses</t>
  </si>
  <si>
    <t>Advertising and Marketing</t>
  </si>
  <si>
    <t>Advertising</t>
  </si>
  <si>
    <t>Marketing</t>
  </si>
  <si>
    <t>Entertainment</t>
  </si>
  <si>
    <t>Website</t>
  </si>
  <si>
    <t>Networking</t>
  </si>
  <si>
    <t>Total Advertising and Marketing</t>
  </si>
  <si>
    <t>Bank and merchant fees</t>
  </si>
  <si>
    <t>Bank Fees</t>
  </si>
  <si>
    <t>Merchant Fees</t>
  </si>
  <si>
    <t>Total Bank and merchant fees</t>
  </si>
  <si>
    <t>Office and operating expenses</t>
  </si>
  <si>
    <t>Light, Power, Heating</t>
  </si>
  <si>
    <t>Office Expenses</t>
  </si>
  <si>
    <t>Printing &amp; Stationery</t>
  </si>
  <si>
    <t>Subscriptions</t>
  </si>
  <si>
    <t>Telephone &amp; Internet</t>
  </si>
  <si>
    <t>Filing Fees ASIC</t>
  </si>
  <si>
    <t>General Expenses</t>
  </si>
  <si>
    <t>Bookkeeping and Xero Sub</t>
  </si>
  <si>
    <t>Fines and Penalties</t>
  </si>
  <si>
    <t>Donations</t>
  </si>
  <si>
    <t>Total Office and operating expenses</t>
  </si>
  <si>
    <t>Professional Fees</t>
  </si>
  <si>
    <t>Consulting &amp; Accounting</t>
  </si>
  <si>
    <t>Legal expenses</t>
  </si>
  <si>
    <t>Coaching</t>
  </si>
  <si>
    <t>Total Professional Fees</t>
  </si>
  <si>
    <t>Freight expenses</t>
  </si>
  <si>
    <t>Freight &amp; Courier</t>
  </si>
  <si>
    <t>Insurance expenses</t>
  </si>
  <si>
    <t>Insurance - Business</t>
  </si>
  <si>
    <t>Insurance - Life</t>
  </si>
  <si>
    <t>Total Insurance expenses</t>
  </si>
  <si>
    <t>Motor vehicle expenses</t>
  </si>
  <si>
    <t>Motor Vehicle - Fuel</t>
  </si>
  <si>
    <t>Parking and Tolls</t>
  </si>
  <si>
    <t>Motor Vehicle - Maintenace</t>
  </si>
  <si>
    <t>Insurance - Motor Vehicle</t>
  </si>
  <si>
    <t>Motor Vehicle - Registrations</t>
  </si>
  <si>
    <t>Total Motor vehicle expenses</t>
  </si>
  <si>
    <t>Asset and currency gains/losses</t>
  </si>
  <si>
    <t>Asset Expense</t>
  </si>
  <si>
    <t>Occupancy expenses</t>
  </si>
  <si>
    <t>Rent</t>
  </si>
  <si>
    <t>Rates/Water Rates</t>
  </si>
  <si>
    <t>Total Occupancy expenses</t>
  </si>
  <si>
    <t>Repairs and maintenance</t>
  </si>
  <si>
    <t>Repairs and Maintenance</t>
  </si>
  <si>
    <t>Staff and contractors expense</t>
  </si>
  <si>
    <t>Superannuation</t>
  </si>
  <si>
    <t>Admin - Wages and Salaries</t>
  </si>
  <si>
    <t>Staff costs</t>
  </si>
  <si>
    <t>Staff Expenses - Co Invest</t>
  </si>
  <si>
    <t>Insurance - Workcover</t>
  </si>
  <si>
    <t>Client/Staff gifts</t>
  </si>
  <si>
    <t>Annual Leave (provision)</t>
  </si>
  <si>
    <t>Wages Irrigation</t>
  </si>
  <si>
    <t>Wages-PPL account</t>
  </si>
  <si>
    <t>Overseas Contractors</t>
  </si>
  <si>
    <t>Work Experience</t>
  </si>
  <si>
    <t>Total Staff and contractors expense</t>
  </si>
  <si>
    <t>Travel</t>
  </si>
  <si>
    <t>Travel - National</t>
  </si>
  <si>
    <t>Insurance - P&amp;P Liability</t>
  </si>
  <si>
    <t>Total Expenses</t>
  </si>
  <si>
    <t>Operating Profit</t>
  </si>
  <si>
    <t>Other Income</t>
  </si>
  <si>
    <t>CashFlow Boost</t>
  </si>
  <si>
    <t>JobKeeper Subsidy</t>
  </si>
  <si>
    <t>Apprentice Subsidy</t>
  </si>
  <si>
    <t>Vic Gov Grants</t>
  </si>
  <si>
    <t>Brimbank Council Grant</t>
  </si>
  <si>
    <t>Cost Recoveries for MVW Services</t>
  </si>
  <si>
    <t>Paid Parental Leave Income</t>
  </si>
  <si>
    <t>Earnings Before Interest &amp; Tax</t>
  </si>
  <si>
    <t>Interest Income</t>
  </si>
  <si>
    <t>Interest Expenses</t>
  </si>
  <si>
    <t>Interest Expense</t>
  </si>
  <si>
    <t>Earnings Before Tax</t>
  </si>
  <si>
    <t>Tax Expenses</t>
  </si>
  <si>
    <t>Income Tax Expense</t>
  </si>
  <si>
    <t>Earnings After Tax</t>
  </si>
  <si>
    <t>Net Income</t>
  </si>
  <si>
    <t>BALANCE SHEET</t>
  </si>
  <si>
    <t>ASSETS</t>
  </si>
  <si>
    <t>Cash &amp; Equivalents</t>
  </si>
  <si>
    <t>Business Saver</t>
  </si>
  <si>
    <t>GST Account</t>
  </si>
  <si>
    <t>AMEX Card</t>
  </si>
  <si>
    <t>ANZ AU CC 456480XXXXXX5526</t>
  </si>
  <si>
    <t>MJV Irrigation</t>
  </si>
  <si>
    <t>Cash On Hand</t>
  </si>
  <si>
    <t>Total Cash &amp; Equivalents</t>
  </si>
  <si>
    <t>Accounts Receivable</t>
  </si>
  <si>
    <t>Other Current Assets</t>
  </si>
  <si>
    <t>Prepayments</t>
  </si>
  <si>
    <t>Prepaid Insurance</t>
  </si>
  <si>
    <t>Total Prepayments</t>
  </si>
  <si>
    <t>Sole Trader Account</t>
  </si>
  <si>
    <t>Toolboxes</t>
  </si>
  <si>
    <t>Deposits</t>
  </si>
  <si>
    <t>MVW Services</t>
  </si>
  <si>
    <t>H Williams</t>
  </si>
  <si>
    <t>Total MVW Services</t>
  </si>
  <si>
    <t>Borrowing Costs</t>
  </si>
  <si>
    <t>Total Other Current Assets</t>
  </si>
  <si>
    <t>Total Current Assets</t>
  </si>
  <si>
    <t>Fixed Assets</t>
  </si>
  <si>
    <t>Computer Equipment</t>
  </si>
  <si>
    <t>Office Equipment</t>
  </si>
  <si>
    <t>Less Accumulated Depreciation</t>
  </si>
  <si>
    <t>STS General Pool</t>
  </si>
  <si>
    <t>Motor vehicles and equipment</t>
  </si>
  <si>
    <t>Isuzu Ute 2018 1OV4RS</t>
  </si>
  <si>
    <t>Unexpired Interest on Isuzu Uite</t>
  </si>
  <si>
    <t>Ford Ute BBK 621</t>
  </si>
  <si>
    <t>Unexp Int BBK621</t>
  </si>
  <si>
    <t>2019 Isuzu Ute IPW9ZV</t>
  </si>
  <si>
    <t>Unexpired Int 2019 DMax</t>
  </si>
  <si>
    <t>Mitsubishi Triton Ute</t>
  </si>
  <si>
    <t>Tipper</t>
  </si>
  <si>
    <t>Caterpillar Hydraulic Excavator</t>
  </si>
  <si>
    <t>Ford Ranger 2021 BXF 636</t>
  </si>
  <si>
    <t>Toyota Hilux 4xs Workmate</t>
  </si>
  <si>
    <t>USED 2013 Great Wall V200</t>
  </si>
  <si>
    <t>Hilux 4x2 Workmate 1XF2FY - Irrigation</t>
  </si>
  <si>
    <t>Toyotal Hilux 4.x 2 Rev Camera</t>
  </si>
  <si>
    <t>Irrigation Vehicle IXV 5JE</t>
  </si>
  <si>
    <t>Toyota IXV5JF Plumbing $166.94</t>
  </si>
  <si>
    <t>EZ80 Excavator</t>
  </si>
  <si>
    <t>Ford $1298.26 Reg CDY262</t>
  </si>
  <si>
    <t>Ford MY22 Ranger CHC522</t>
  </si>
  <si>
    <t>Mazda BT-50 E 1YQ-6TR</t>
  </si>
  <si>
    <t>Motor Vehicle</t>
  </si>
  <si>
    <t>Total Motor vehicles and equipment</t>
  </si>
  <si>
    <t>Total Fixed Assets</t>
  </si>
  <si>
    <t>Investments or Other Non-Current Assets</t>
  </si>
  <si>
    <t>Loan - D Venn</t>
  </si>
  <si>
    <t>Loan - MVW Services</t>
  </si>
  <si>
    <t>Total Investments or Other Non-Current Assets</t>
  </si>
  <si>
    <t>Total Non-Current Assets</t>
  </si>
  <si>
    <t>Total Assets</t>
  </si>
  <si>
    <t>LIABILITIES</t>
  </si>
  <si>
    <t>Accounts Payable</t>
  </si>
  <si>
    <t>Tax Liability</t>
  </si>
  <si>
    <t>Income Tax Payable</t>
  </si>
  <si>
    <t>Provision for Income Tax</t>
  </si>
  <si>
    <t>Total Tax Liability</t>
  </si>
  <si>
    <t>Other Current Liabilities</t>
  </si>
  <si>
    <t>GST and PAYG</t>
  </si>
  <si>
    <t>GST</t>
  </si>
  <si>
    <t>PAYG Withholdings Payable</t>
  </si>
  <si>
    <t>ATO Payment Plan</t>
  </si>
  <si>
    <t>ATO - Integrated Client Account</t>
  </si>
  <si>
    <t>PAYG Instalment Payable</t>
  </si>
  <si>
    <t>Total GST and PAYG</t>
  </si>
  <si>
    <t>Owner A Drawings</t>
  </si>
  <si>
    <t>Owner A Funds Introduced</t>
  </si>
  <si>
    <t>Rounding</t>
  </si>
  <si>
    <t>Super payable</t>
  </si>
  <si>
    <t>Superannuation Payable</t>
  </si>
  <si>
    <t>Suspense</t>
  </si>
  <si>
    <t>Wages Payable - Payroll</t>
  </si>
  <si>
    <t>Funding liabilities</t>
  </si>
  <si>
    <t>Ford 1IN 1UE $514.10</t>
  </si>
  <si>
    <t>Ford BBK621 $988.99</t>
  </si>
  <si>
    <t>2019 DMax 1PW9ZV $597.67</t>
  </si>
  <si>
    <t>Toyota Hi Lux $968.85</t>
  </si>
  <si>
    <t>Ford MY22 Ranger CHC522 $1534.38</t>
  </si>
  <si>
    <t>Mazda BT-50 E 1YQ-6TR $1078.07</t>
  </si>
  <si>
    <t>Attvest Funding $2401.27</t>
  </si>
  <si>
    <t>Attvest Funding $252.90</t>
  </si>
  <si>
    <t>2024 Mazda BT-50 2BH5SS $950.03</t>
  </si>
  <si>
    <t>Insurance Funding</t>
  </si>
  <si>
    <t>Total Funding liabilities</t>
  </si>
  <si>
    <t>Payments Suspense</t>
  </si>
  <si>
    <t>Provisions</t>
  </si>
  <si>
    <t>Provision for Annual Leave</t>
  </si>
  <si>
    <t>Total Provisions</t>
  </si>
  <si>
    <t>Clearmatch Insurance Funding</t>
  </si>
  <si>
    <t>02 Payroll Clearing</t>
  </si>
  <si>
    <t>Total Other Current Liabilities</t>
  </si>
  <si>
    <t>Total Current Liabilities</t>
  </si>
  <si>
    <t>Long Term Debt</t>
  </si>
  <si>
    <t>Loan</t>
  </si>
  <si>
    <t>Vehicle and equipment loans</t>
  </si>
  <si>
    <t>Isuzu Loan 1OV4RS $260.21</t>
  </si>
  <si>
    <t>Caterpillar Hydraulic Excavator Loan</t>
  </si>
  <si>
    <t>Ford Ranger 2021 BXF 636 $157.28</t>
  </si>
  <si>
    <t>Loan Toyota Hi Lux Workmate 1WM 8CW</t>
  </si>
  <si>
    <t>Loan Toyota $617.33 1XF2FY - Irrigation</t>
  </si>
  <si>
    <t>Loan Irrigation Vehicle IXV 5JE $165.58</t>
  </si>
  <si>
    <t>Loan Toyota IXV 5JF $166.84</t>
  </si>
  <si>
    <t>Loan EZ80 Excavator $2342.89</t>
  </si>
  <si>
    <t>Loan Ford CDY242 $1298.26 - Irrigation</t>
  </si>
  <si>
    <t>Ford Ranger 2021 - Less unexpired charges</t>
  </si>
  <si>
    <t>2019 Dmax - Less unexpired charges</t>
  </si>
  <si>
    <t>Toyota Hilux (1WM8CW ) - Less unexpired charges</t>
  </si>
  <si>
    <t>Toyota Hilux (1XF2FY) - Less unexpired charges</t>
  </si>
  <si>
    <t>Mazda BT50 (1YQ6TR) - Less unexpired charges</t>
  </si>
  <si>
    <t>Ford Ranger (CDY242) - Less unexpired charges</t>
  </si>
  <si>
    <t>Toyota Hilux (BRW589) - Less unexpired charges</t>
  </si>
  <si>
    <t>Toyota Hilux (IXV5JE) - Less unexpired charges</t>
  </si>
  <si>
    <t>Ford Ranger (CHC522) - Less unexpired charges</t>
  </si>
  <si>
    <t>Toyota Hilux (IXV5JF) - Less unexpired charges</t>
  </si>
  <si>
    <t>Total Vehicle and equipment loans</t>
  </si>
  <si>
    <t>Directors Loan</t>
  </si>
  <si>
    <t>DYNAMONEY $75K Loan</t>
  </si>
  <si>
    <t>Total Long Term Debt</t>
  </si>
  <si>
    <t>Other Non-Current Liabilities</t>
  </si>
  <si>
    <t>GST Clearing</t>
  </si>
  <si>
    <t>Total Non-Current Liabilities</t>
  </si>
  <si>
    <t>Total Liabilities</t>
  </si>
  <si>
    <t>EQUITY</t>
  </si>
  <si>
    <t>Retained Earnings</t>
  </si>
  <si>
    <t>Current Earnings</t>
  </si>
  <si>
    <t>Current Year Earnings</t>
  </si>
  <si>
    <t>Other Equity</t>
  </si>
  <si>
    <t>Capital Loss Reserve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</si>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</sst>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&quot;(&quot;&quot;$&quot;#,##0&quot;)&quot;"/>
  </numFmts>
  <fonts count="4" x14ac:knownFonts="1">
    <font>
      <sz val="11"/>
      <name val="Calibri"/>
    </font>
    <font>
      <sz val="2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0" fontId="3" fillId="2" borderId="1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3" fillId="3" borderId="0" applyNumberFormat="0">
      <alignment horizontal="left" indent="2"/>
    </xf>
    <xf numFmtId="164" fontId="3" fillId="0" borderId="0">
      <alignment horizontal="right"/>
    </xf>
    <xf numFmtId="0" fontId="2" fillId="3" borderId="0" applyNumberFormat="0">
      <alignment horizontal="left" indent="4"/>
    </xf>
    <xf numFmtId="164" fontId="2" fillId="0" borderId="0">
      <alignment horizontal="right"/>
    </xf>
    <xf numFmtId="0" fontId="3" fillId="3" borderId="1" applyNumberFormat="0">
      <alignment horizontal="left" indent="2"/>
    </xf>
    <xf numFmtId="0" fontId="2" fillId="3" borderId="0" applyNumberFormat="0">
      <alignment horizontal="left" indent="2"/>
    </xf>
    <xf numFmtId="0" fontId="2" fillId="3" borderId="0" applyNumberFormat="0">
      <alignment horizontal="left"/>
    </xf>
    <xf numFmtId="0" fontId="3" fillId="2" borderId="0" applyNumberFormat="0">
      <alignment horizontal="right"/>
    </xf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3" fillId="2" borderId="1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3" fillId="3" borderId="0" xfId="5">
      <alignment horizontal="left" indent="2"/>
    </xf>
    <xf numFmtId="164" fontId="3" fillId="0" borderId="0" xfId="6">
      <alignment horizontal="right"/>
    </xf>
    <xf numFmtId="0" fontId="2" fillId="3" borderId="0" xfId="7">
      <alignment horizontal="left" indent="4"/>
    </xf>
    <xf numFmtId="164" fontId="2" fillId="0" borderId="0" xfId="8">
      <alignment horizontal="right"/>
    </xf>
    <xf numFmtId="0" fontId="3" fillId="3" borderId="1" xfId="9">
      <alignment horizontal="left" indent="2"/>
    </xf>
    <xf numFmtId="0" fontId="2" fillId="3" borderId="0" xfId="10">
      <alignment horizontal="left" indent="2"/>
    </xf>
    <xf numFmtId="0" fontId="2" fillId="3" borderId="0" xfId="11">
      <alignment horizontal="left"/>
    </xf>
    <xf numFmtId="0" fontId="3" fillId="2" borderId="0" xfId="12">
      <alignment horizontal="right"/>
    </xf>
  </cellXfs>
  <cellStyles count="13">
    <cellStyle name="$@:::false:right:false:0:false0" xfId="8" xr:uid="{00000000-0005-0000-0000-000008000000}"/>
    <cellStyle name="$@:::true:right:false:0:false0" xfId="4" xr:uid="{00000000-0005-0000-0000-000004000000}"/>
    <cellStyle name="$@:::true:right:true:0:false0" xfId="6" xr:uid="{00000000-0005-0000-0000-000006000000}"/>
    <cellStyle name="::#dce6f2:true:left:false:0:false0" xfId="2" xr:uid="{00000000-0005-0000-0000-000002000000}"/>
    <cellStyle name="::#dce6f2:true:right:false:0:false0" xfId="1" xr:uid="{00000000-0005-0000-0000-000001000000}"/>
    <cellStyle name="::#dce6f2:true:right:true:0:false0" xfId="12" xr:uid="{00000000-0005-0000-0000-00000C000000}"/>
    <cellStyle name="::#ebf1de:false:left:false:0:false0" xfId="11" xr:uid="{00000000-0005-0000-0000-00000B000000}"/>
    <cellStyle name="::#ebf1de:false:left:false:2:false0" xfId="10" xr:uid="{00000000-0005-0000-0000-00000A000000}"/>
    <cellStyle name="::#ebf1de:false:left:false:4:false0" xfId="7" xr:uid="{00000000-0005-0000-0000-000007000000}"/>
    <cellStyle name="::#ebf1de:true:left:false:0:false0" xfId="3" xr:uid="{00000000-0005-0000-0000-000003000000}"/>
    <cellStyle name="::#ebf1de:true:left:false:2:false0" xfId="9" xr:uid="{00000000-0005-0000-0000-000009000000}"/>
    <cellStyle name="::#ebf1de:true:left:true:2:false0" xfId="5" xr:uid="{00000000-0005-0000-0000-000005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6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06" sqref="B106"/>
    </sheetView>
  </sheetViews>
  <sheetFormatPr defaultRowHeight="14.4" x14ac:dyDescent="0.3"/>
  <cols>
    <col min="1" max="1" width="44.88671875" customWidth="1"/>
    <col min="2" max="79" width="20" customWidth="1"/>
  </cols>
  <sheetData>
    <row r="1" spans="1:79" s="1" customFormat="1" ht="24" customHeight="1" x14ac:dyDescent="0.5">
      <c r="A1" s="1" t="s">
        <v>0</v>
      </c>
      <c r="C1" s="14" t="s">
        <v>1</v>
      </c>
    </row>
    <row r="2" spans="1:79" s="2" customFormat="1" x14ac:dyDescent="0.3">
      <c r="A2" s="4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  <c r="BD2" s="3" t="s">
        <v>57</v>
      </c>
      <c r="BE2" s="3" t="s">
        <v>58</v>
      </c>
      <c r="BF2" s="3" t="s">
        <v>59</v>
      </c>
      <c r="BG2" s="3" t="s">
        <v>60</v>
      </c>
      <c r="BH2" s="3" t="s">
        <v>61</v>
      </c>
      <c r="BI2" s="3" t="s">
        <v>62</v>
      </c>
      <c r="BJ2" s="3" t="s">
        <v>63</v>
      </c>
      <c r="BK2" s="3" t="s">
        <v>64</v>
      </c>
      <c r="BL2" s="3" t="s">
        <v>65</v>
      </c>
      <c r="BM2" s="3" t="s">
        <v>66</v>
      </c>
      <c r="BN2" s="3" t="s">
        <v>67</v>
      </c>
      <c r="BO2" s="3" t="s">
        <v>68</v>
      </c>
      <c r="BP2" s="3" t="s">
        <v>69</v>
      </c>
      <c r="BQ2" s="3" t="s">
        <v>70</v>
      </c>
      <c r="BR2" s="3" t="s">
        <v>71</v>
      </c>
      <c r="BS2" s="3" t="s">
        <v>72</v>
      </c>
      <c r="BT2" s="3" t="s">
        <v>73</v>
      </c>
      <c r="BU2" s="3" t="s">
        <v>74</v>
      </c>
      <c r="BV2" s="3" t="s">
        <v>75</v>
      </c>
      <c r="BW2" s="3" t="s">
        <v>76</v>
      </c>
      <c r="BX2" s="3" t="s">
        <v>77</v>
      </c>
      <c r="BY2" s="3" t="s">
        <v>78</v>
      </c>
      <c r="BZ2" s="3" t="s">
        <v>79</v>
      </c>
      <c r="CA2" s="3" t="s">
        <v>80</v>
      </c>
    </row>
    <row r="3" spans="1:79" x14ac:dyDescent="0.3">
      <c r="A3" s="5" t="s">
        <v>81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</row>
    <row r="4" spans="1:79" x14ac:dyDescent="0.3">
      <c r="A4" s="5" t="s">
        <v>82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</row>
    <row r="5" spans="1:79" x14ac:dyDescent="0.3">
      <c r="A5" s="7" t="s">
        <v>83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</row>
    <row r="6" spans="1:79" x14ac:dyDescent="0.3">
      <c r="A6" s="9" t="s">
        <v>84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2272.73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3259.73</v>
      </c>
      <c r="AM6" s="10">
        <v>0</v>
      </c>
      <c r="AN6" s="10">
        <v>0</v>
      </c>
      <c r="AO6" s="10">
        <v>468.1</v>
      </c>
      <c r="AP6" s="10">
        <v>0</v>
      </c>
      <c r="AQ6" s="10">
        <v>0</v>
      </c>
      <c r="AR6" s="10">
        <v>0</v>
      </c>
      <c r="AS6" s="10">
        <v>0</v>
      </c>
      <c r="AT6" s="10">
        <v>5222.17</v>
      </c>
      <c r="AU6" s="10">
        <v>0</v>
      </c>
      <c r="AV6" s="10">
        <v>288.01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38181.82</v>
      </c>
      <c r="BD6" s="10">
        <v>10306.719999999999</v>
      </c>
      <c r="BE6" s="10">
        <v>0</v>
      </c>
      <c r="BF6" s="10">
        <v>11100</v>
      </c>
      <c r="BG6" s="10">
        <v>0</v>
      </c>
      <c r="BH6" s="10">
        <v>0</v>
      </c>
      <c r="BI6" s="10">
        <v>1362.73</v>
      </c>
      <c r="BJ6" s="10">
        <v>-1362.73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139.54</v>
      </c>
      <c r="BZ6" s="10">
        <v>0</v>
      </c>
      <c r="CA6" s="10">
        <v>7374.27</v>
      </c>
    </row>
    <row r="7" spans="1:79" x14ac:dyDescent="0.3">
      <c r="A7" s="7" t="s">
        <v>85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</row>
    <row r="8" spans="1:79" x14ac:dyDescent="0.3">
      <c r="A8" s="9" t="s">
        <v>86</v>
      </c>
      <c r="B8" s="10">
        <v>72091.89</v>
      </c>
      <c r="C8" s="10">
        <v>53463.08</v>
      </c>
      <c r="D8" s="10">
        <v>32928.04</v>
      </c>
      <c r="E8" s="10">
        <v>74426.94</v>
      </c>
      <c r="F8" s="10">
        <v>51851.7</v>
      </c>
      <c r="G8" s="10">
        <v>82705.539999999994</v>
      </c>
      <c r="H8" s="10">
        <v>107203.29</v>
      </c>
      <c r="I8" s="10">
        <v>120716.34</v>
      </c>
      <c r="J8" s="10">
        <v>51831.42</v>
      </c>
      <c r="K8" s="10">
        <v>47021.89</v>
      </c>
      <c r="L8" s="10">
        <v>111256.81</v>
      </c>
      <c r="M8" s="10">
        <v>62826.7</v>
      </c>
      <c r="N8" s="10">
        <v>26858.53</v>
      </c>
      <c r="O8" s="10">
        <v>102153.08</v>
      </c>
      <c r="P8" s="10">
        <v>131920.12</v>
      </c>
      <c r="Q8" s="10">
        <v>42129.79</v>
      </c>
      <c r="R8" s="10">
        <v>84765.15</v>
      </c>
      <c r="S8" s="10">
        <v>67764.89</v>
      </c>
      <c r="T8" s="10">
        <v>41569.71</v>
      </c>
      <c r="U8" s="10">
        <v>109313.4</v>
      </c>
      <c r="V8" s="10">
        <v>40902.89</v>
      </c>
      <c r="W8" s="10">
        <v>29969.279999999999</v>
      </c>
      <c r="X8" s="10">
        <v>45734.239999999998</v>
      </c>
      <c r="Y8" s="10">
        <v>142610.37</v>
      </c>
      <c r="Z8" s="10">
        <v>26214.34</v>
      </c>
      <c r="AA8" s="10">
        <v>62369.68</v>
      </c>
      <c r="AB8" s="10">
        <v>119035.46</v>
      </c>
      <c r="AC8" s="10">
        <v>89817.91</v>
      </c>
      <c r="AD8" s="10">
        <v>116964.53</v>
      </c>
      <c r="AE8" s="10">
        <v>181471.85</v>
      </c>
      <c r="AF8" s="10">
        <v>144261.35999999999</v>
      </c>
      <c r="AG8" s="10">
        <v>127863.57</v>
      </c>
      <c r="AH8" s="10">
        <v>98367.98</v>
      </c>
      <c r="AI8" s="10">
        <v>61828.2</v>
      </c>
      <c r="AJ8" s="10">
        <v>119121.75</v>
      </c>
      <c r="AK8" s="10">
        <v>141475.10999999999</v>
      </c>
      <c r="AL8" s="10">
        <v>105102.59</v>
      </c>
      <c r="AM8" s="10">
        <v>153196.51</v>
      </c>
      <c r="AN8" s="10">
        <v>124308.91</v>
      </c>
      <c r="AO8" s="10">
        <v>103225.3</v>
      </c>
      <c r="AP8" s="10">
        <v>230511.57</v>
      </c>
      <c r="AQ8" s="10">
        <v>133385.91</v>
      </c>
      <c r="AR8" s="10">
        <v>62829.4</v>
      </c>
      <c r="AS8" s="10">
        <v>163141.60999999999</v>
      </c>
      <c r="AT8" s="10">
        <v>121320.6</v>
      </c>
      <c r="AU8" s="10">
        <v>142586.07</v>
      </c>
      <c r="AV8" s="10">
        <v>136140.04</v>
      </c>
      <c r="AW8" s="10">
        <v>162347.42000000001</v>
      </c>
      <c r="AX8" s="10">
        <v>105028.08</v>
      </c>
      <c r="AY8" s="10">
        <v>158304.13</v>
      </c>
      <c r="AZ8" s="10">
        <v>62112.29</v>
      </c>
      <c r="BA8" s="10">
        <v>231550.21</v>
      </c>
      <c r="BB8" s="10">
        <v>93991.72</v>
      </c>
      <c r="BC8" s="10">
        <v>292648.24</v>
      </c>
      <c r="BD8" s="10">
        <v>178989.3</v>
      </c>
      <c r="BE8" s="10">
        <v>140026.66</v>
      </c>
      <c r="BF8" s="10">
        <v>140168.22</v>
      </c>
      <c r="BG8" s="10">
        <v>225417.74</v>
      </c>
      <c r="BH8" s="10">
        <v>173087.47</v>
      </c>
      <c r="BI8" s="10">
        <v>164237.93</v>
      </c>
      <c r="BJ8" s="10">
        <v>45097.36</v>
      </c>
      <c r="BK8" s="10">
        <v>144518.91</v>
      </c>
      <c r="BL8" s="10">
        <v>242758.95</v>
      </c>
      <c r="BM8" s="10">
        <v>85967.31</v>
      </c>
      <c r="BN8" s="10">
        <v>197092.57</v>
      </c>
      <c r="BO8" s="10">
        <v>212818.29</v>
      </c>
      <c r="BP8" s="10">
        <v>122943.95</v>
      </c>
      <c r="BQ8" s="10">
        <v>158275.15</v>
      </c>
      <c r="BR8" s="10">
        <v>156086.91</v>
      </c>
      <c r="BS8" s="10">
        <v>212158.6</v>
      </c>
      <c r="BT8" s="10">
        <v>160547.14000000001</v>
      </c>
      <c r="BU8" s="10">
        <v>184683.78</v>
      </c>
      <c r="BV8" s="10">
        <v>218994.43</v>
      </c>
      <c r="BW8" s="10">
        <v>131323.51</v>
      </c>
      <c r="BX8" s="10">
        <v>233296.96</v>
      </c>
      <c r="BY8" s="10">
        <v>153489.31</v>
      </c>
      <c r="BZ8" s="10">
        <v>158097.01999999999</v>
      </c>
      <c r="CA8" s="10">
        <v>194461.72</v>
      </c>
    </row>
    <row r="9" spans="1:79" x14ac:dyDescent="0.3">
      <c r="A9" s="7" t="s">
        <v>87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</row>
    <row r="10" spans="1:79" x14ac:dyDescent="0.3">
      <c r="A10" s="9" t="s">
        <v>88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31754.82</v>
      </c>
      <c r="AX10" s="10">
        <v>95405</v>
      </c>
      <c r="AY10" s="10">
        <v>75490.36</v>
      </c>
      <c r="AZ10" s="10">
        <v>50948.62</v>
      </c>
      <c r="BA10" s="10">
        <v>153590.18</v>
      </c>
      <c r="BB10" s="10">
        <v>47081.33</v>
      </c>
      <c r="BC10" s="10">
        <v>108560.94</v>
      </c>
      <c r="BD10" s="10">
        <v>82500</v>
      </c>
      <c r="BE10" s="10">
        <v>82514</v>
      </c>
      <c r="BF10" s="10">
        <v>60287.72</v>
      </c>
      <c r="BG10" s="10">
        <v>47750</v>
      </c>
      <c r="BH10" s="10">
        <v>0</v>
      </c>
      <c r="BI10" s="10">
        <v>8396.5</v>
      </c>
      <c r="BJ10" s="10">
        <v>0</v>
      </c>
      <c r="BK10" s="10">
        <v>-2289.44</v>
      </c>
      <c r="BL10" s="10">
        <v>-1500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</row>
    <row r="11" spans="1:79" x14ac:dyDescent="0.3">
      <c r="A11" s="5" t="s">
        <v>89</v>
      </c>
      <c r="B11" s="6">
        <f t="shared" ref="B11:AG11" si="0">SUM(B6,B8,B10)</f>
        <v>72091.89</v>
      </c>
      <c r="C11" s="6">
        <f t="shared" si="0"/>
        <v>53463.08</v>
      </c>
      <c r="D11" s="6">
        <f t="shared" si="0"/>
        <v>32928.04</v>
      </c>
      <c r="E11" s="6">
        <f t="shared" si="0"/>
        <v>74426.94</v>
      </c>
      <c r="F11" s="6">
        <f t="shared" si="0"/>
        <v>51851.7</v>
      </c>
      <c r="G11" s="6">
        <f t="shared" si="0"/>
        <v>82705.539999999994</v>
      </c>
      <c r="H11" s="6">
        <f t="shared" si="0"/>
        <v>107203.29</v>
      </c>
      <c r="I11" s="6">
        <f t="shared" si="0"/>
        <v>120716.34</v>
      </c>
      <c r="J11" s="6">
        <f t="shared" si="0"/>
        <v>51831.42</v>
      </c>
      <c r="K11" s="6">
        <f t="shared" si="0"/>
        <v>49294.62</v>
      </c>
      <c r="L11" s="6">
        <f t="shared" si="0"/>
        <v>111256.81</v>
      </c>
      <c r="M11" s="6">
        <f t="shared" si="0"/>
        <v>62826.7</v>
      </c>
      <c r="N11" s="6">
        <f t="shared" si="0"/>
        <v>26858.53</v>
      </c>
      <c r="O11" s="6">
        <f t="shared" si="0"/>
        <v>102153.08</v>
      </c>
      <c r="P11" s="6">
        <f t="shared" si="0"/>
        <v>131920.12</v>
      </c>
      <c r="Q11" s="6">
        <f t="shared" si="0"/>
        <v>42129.79</v>
      </c>
      <c r="R11" s="6">
        <f t="shared" si="0"/>
        <v>84765.15</v>
      </c>
      <c r="S11" s="6">
        <f t="shared" si="0"/>
        <v>67764.89</v>
      </c>
      <c r="T11" s="6">
        <f t="shared" si="0"/>
        <v>41569.71</v>
      </c>
      <c r="U11" s="6">
        <f t="shared" si="0"/>
        <v>109313.4</v>
      </c>
      <c r="V11" s="6">
        <f t="shared" si="0"/>
        <v>40902.89</v>
      </c>
      <c r="W11" s="6">
        <f t="shared" si="0"/>
        <v>29969.279999999999</v>
      </c>
      <c r="X11" s="6">
        <f t="shared" si="0"/>
        <v>45734.239999999998</v>
      </c>
      <c r="Y11" s="6">
        <f t="shared" si="0"/>
        <v>142610.37</v>
      </c>
      <c r="Z11" s="6">
        <f t="shared" si="0"/>
        <v>26214.34</v>
      </c>
      <c r="AA11" s="6">
        <f t="shared" si="0"/>
        <v>62369.68</v>
      </c>
      <c r="AB11" s="6">
        <f t="shared" si="0"/>
        <v>119035.46</v>
      </c>
      <c r="AC11" s="6">
        <f t="shared" si="0"/>
        <v>89817.91</v>
      </c>
      <c r="AD11" s="6">
        <f t="shared" si="0"/>
        <v>116964.53</v>
      </c>
      <c r="AE11" s="6">
        <f t="shared" si="0"/>
        <v>181471.85</v>
      </c>
      <c r="AF11" s="6">
        <f t="shared" si="0"/>
        <v>144261.35999999999</v>
      </c>
      <c r="AG11" s="6">
        <f t="shared" si="0"/>
        <v>127863.57</v>
      </c>
      <c r="AH11" s="6">
        <f t="shared" ref="AH11:BM11" si="1">SUM(AH6,AH8,AH10)</f>
        <v>98367.98</v>
      </c>
      <c r="AI11" s="6">
        <f t="shared" si="1"/>
        <v>61828.2</v>
      </c>
      <c r="AJ11" s="6">
        <f t="shared" si="1"/>
        <v>119121.75</v>
      </c>
      <c r="AK11" s="6">
        <f t="shared" si="1"/>
        <v>141475.10999999999</v>
      </c>
      <c r="AL11" s="6">
        <f t="shared" si="1"/>
        <v>108362.31999999999</v>
      </c>
      <c r="AM11" s="6">
        <f t="shared" si="1"/>
        <v>153196.51</v>
      </c>
      <c r="AN11" s="6">
        <f t="shared" si="1"/>
        <v>124308.91</v>
      </c>
      <c r="AO11" s="6">
        <f t="shared" si="1"/>
        <v>103693.40000000001</v>
      </c>
      <c r="AP11" s="6">
        <f t="shared" si="1"/>
        <v>230511.57</v>
      </c>
      <c r="AQ11" s="6">
        <f t="shared" si="1"/>
        <v>133385.91</v>
      </c>
      <c r="AR11" s="6">
        <f t="shared" si="1"/>
        <v>62829.4</v>
      </c>
      <c r="AS11" s="6">
        <f t="shared" si="1"/>
        <v>163141.60999999999</v>
      </c>
      <c r="AT11" s="6">
        <f t="shared" si="1"/>
        <v>126542.77</v>
      </c>
      <c r="AU11" s="6">
        <f t="shared" si="1"/>
        <v>142586.07</v>
      </c>
      <c r="AV11" s="6">
        <f t="shared" si="1"/>
        <v>136428.05000000002</v>
      </c>
      <c r="AW11" s="6">
        <f t="shared" si="1"/>
        <v>194102.24000000002</v>
      </c>
      <c r="AX11" s="6">
        <f t="shared" si="1"/>
        <v>200433.08000000002</v>
      </c>
      <c r="AY11" s="6">
        <f t="shared" si="1"/>
        <v>233794.49</v>
      </c>
      <c r="AZ11" s="6">
        <f t="shared" si="1"/>
        <v>113060.91</v>
      </c>
      <c r="BA11" s="6">
        <f t="shared" si="1"/>
        <v>385140.39</v>
      </c>
      <c r="BB11" s="6">
        <f t="shared" si="1"/>
        <v>141073.04999999999</v>
      </c>
      <c r="BC11" s="6">
        <f t="shared" si="1"/>
        <v>439391</v>
      </c>
      <c r="BD11" s="6">
        <f t="shared" si="1"/>
        <v>271796.02</v>
      </c>
      <c r="BE11" s="6">
        <f t="shared" si="1"/>
        <v>222540.66</v>
      </c>
      <c r="BF11" s="6">
        <f t="shared" si="1"/>
        <v>211555.94</v>
      </c>
      <c r="BG11" s="6">
        <f t="shared" si="1"/>
        <v>273167.74</v>
      </c>
      <c r="BH11" s="6">
        <f t="shared" si="1"/>
        <v>173087.47</v>
      </c>
      <c r="BI11" s="6">
        <f t="shared" si="1"/>
        <v>173997.16</v>
      </c>
      <c r="BJ11" s="6">
        <f t="shared" si="1"/>
        <v>43734.63</v>
      </c>
      <c r="BK11" s="6">
        <f t="shared" si="1"/>
        <v>142229.47</v>
      </c>
      <c r="BL11" s="6">
        <f t="shared" si="1"/>
        <v>241258.95</v>
      </c>
      <c r="BM11" s="6">
        <f t="shared" si="1"/>
        <v>85967.31</v>
      </c>
      <c r="BN11" s="6">
        <f t="shared" ref="BN11:CA11" si="2">SUM(BN6,BN8,BN10)</f>
        <v>197092.57</v>
      </c>
      <c r="BO11" s="6">
        <f t="shared" si="2"/>
        <v>212818.29</v>
      </c>
      <c r="BP11" s="6">
        <f t="shared" si="2"/>
        <v>122943.95</v>
      </c>
      <c r="BQ11" s="6">
        <f t="shared" si="2"/>
        <v>158275.15</v>
      </c>
      <c r="BR11" s="6">
        <f t="shared" si="2"/>
        <v>156086.91</v>
      </c>
      <c r="BS11" s="6">
        <f t="shared" si="2"/>
        <v>212158.6</v>
      </c>
      <c r="BT11" s="6">
        <f t="shared" si="2"/>
        <v>160547.14000000001</v>
      </c>
      <c r="BU11" s="6">
        <f t="shared" si="2"/>
        <v>184683.78</v>
      </c>
      <c r="BV11" s="6">
        <f t="shared" si="2"/>
        <v>218994.43</v>
      </c>
      <c r="BW11" s="6">
        <f t="shared" si="2"/>
        <v>131323.51</v>
      </c>
      <c r="BX11" s="6">
        <f t="shared" si="2"/>
        <v>233296.96</v>
      </c>
      <c r="BY11" s="6">
        <f t="shared" si="2"/>
        <v>153628.85</v>
      </c>
      <c r="BZ11" s="6">
        <f t="shared" si="2"/>
        <v>158097.01999999999</v>
      </c>
      <c r="CA11" s="6">
        <f t="shared" si="2"/>
        <v>201835.99</v>
      </c>
    </row>
    <row r="12" spans="1:79" x14ac:dyDescent="0.3">
      <c r="A12" s="5" t="s">
        <v>90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</row>
    <row r="13" spans="1:79" x14ac:dyDescent="0.3">
      <c r="A13" s="7" t="s">
        <v>91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</row>
    <row r="14" spans="1:79" x14ac:dyDescent="0.3">
      <c r="A14" s="9" t="s">
        <v>92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37.5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670</v>
      </c>
      <c r="BQ14" s="10">
        <v>0</v>
      </c>
      <c r="BR14" s="10">
        <v>5.2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</row>
    <row r="15" spans="1:79" x14ac:dyDescent="0.3">
      <c r="A15" s="9" t="s">
        <v>91</v>
      </c>
      <c r="B15" s="10">
        <v>-6339.04</v>
      </c>
      <c r="C15" s="10">
        <v>8869.23</v>
      </c>
      <c r="D15" s="10">
        <v>8652.2000000000007</v>
      </c>
      <c r="E15" s="10">
        <v>17289.919999999998</v>
      </c>
      <c r="F15" s="10">
        <v>20987.63</v>
      </c>
      <c r="G15" s="10">
        <v>56685.1</v>
      </c>
      <c r="H15" s="10">
        <v>5209.58</v>
      </c>
      <c r="I15" s="10">
        <v>3311.02</v>
      </c>
      <c r="J15" s="10">
        <v>20871.78</v>
      </c>
      <c r="K15" s="10">
        <v>19753.439999999999</v>
      </c>
      <c r="L15" s="10">
        <v>9134.7199999999993</v>
      </c>
      <c r="M15" s="10">
        <v>20364.38</v>
      </c>
      <c r="N15" s="10">
        <v>16042.69</v>
      </c>
      <c r="O15" s="10">
        <v>17747.75</v>
      </c>
      <c r="P15" s="10">
        <v>22847.8</v>
      </c>
      <c r="Q15" s="10">
        <v>46508.51</v>
      </c>
      <c r="R15" s="10">
        <v>14282.89</v>
      </c>
      <c r="S15" s="10">
        <v>16202.91</v>
      </c>
      <c r="T15" s="10">
        <v>14221.71</v>
      </c>
      <c r="U15" s="10">
        <v>12031.97</v>
      </c>
      <c r="V15" s="10">
        <v>22117.439999999999</v>
      </c>
      <c r="W15" s="10">
        <v>13698.84</v>
      </c>
      <c r="X15" s="10">
        <v>9224.5499999999993</v>
      </c>
      <c r="Y15" s="10">
        <v>16473.84</v>
      </c>
      <c r="Z15" s="10">
        <v>19531.5</v>
      </c>
      <c r="AA15" s="10">
        <v>14694.11</v>
      </c>
      <c r="AB15" s="10">
        <v>34825.279999999999</v>
      </c>
      <c r="AC15" s="10">
        <v>74135</v>
      </c>
      <c r="AD15" s="10">
        <v>39540.019999999997</v>
      </c>
      <c r="AE15" s="10">
        <v>60404.7</v>
      </c>
      <c r="AF15" s="10">
        <v>34441.760000000002</v>
      </c>
      <c r="AG15" s="10">
        <v>37509.910000000003</v>
      </c>
      <c r="AH15" s="10">
        <v>10981.7</v>
      </c>
      <c r="AI15" s="10">
        <v>30693.77</v>
      </c>
      <c r="AJ15" s="10">
        <v>43667.64</v>
      </c>
      <c r="AK15" s="10">
        <v>27876.12</v>
      </c>
      <c r="AL15" s="10">
        <v>26176.18</v>
      </c>
      <c r="AM15" s="10">
        <v>85302.48</v>
      </c>
      <c r="AN15" s="10">
        <v>44779.18</v>
      </c>
      <c r="AO15" s="10">
        <v>59615.43</v>
      </c>
      <c r="AP15" s="10">
        <v>38181.279999999999</v>
      </c>
      <c r="AQ15" s="10">
        <v>33348.480000000003</v>
      </c>
      <c r="AR15" s="10">
        <v>34175.449999999997</v>
      </c>
      <c r="AS15" s="10">
        <v>36987.519999999997</v>
      </c>
      <c r="AT15" s="10">
        <v>21067.67</v>
      </c>
      <c r="AU15" s="10">
        <v>25033.14</v>
      </c>
      <c r="AV15" s="10">
        <v>27637.94</v>
      </c>
      <c r="AW15" s="10">
        <v>20912.310000000001</v>
      </c>
      <c r="AX15" s="10">
        <v>18807.509999999998</v>
      </c>
      <c r="AY15" s="10">
        <v>66829.16</v>
      </c>
      <c r="AZ15" s="10">
        <v>30876.89</v>
      </c>
      <c r="BA15" s="10">
        <v>40378.14</v>
      </c>
      <c r="BB15" s="10">
        <v>52023.72</v>
      </c>
      <c r="BC15" s="10">
        <v>55894.51</v>
      </c>
      <c r="BD15" s="10">
        <v>41595.589999999997</v>
      </c>
      <c r="BE15" s="10">
        <v>54803.46</v>
      </c>
      <c r="BF15" s="10">
        <v>97926.76</v>
      </c>
      <c r="BG15" s="10">
        <v>72928.800000000003</v>
      </c>
      <c r="BH15" s="10">
        <v>58145.2</v>
      </c>
      <c r="BI15" s="10">
        <v>29110.04</v>
      </c>
      <c r="BJ15" s="10">
        <v>21089.91</v>
      </c>
      <c r="BK15" s="10">
        <v>53938.64</v>
      </c>
      <c r="BL15" s="10">
        <v>37169.65</v>
      </c>
      <c r="BM15" s="10">
        <v>25029.09</v>
      </c>
      <c r="BN15" s="10">
        <v>51914.94</v>
      </c>
      <c r="BO15" s="10">
        <v>22186.34</v>
      </c>
      <c r="BP15" s="10">
        <v>29750.34</v>
      </c>
      <c r="BQ15" s="10">
        <v>36305.82</v>
      </c>
      <c r="BR15" s="10">
        <v>56033.37</v>
      </c>
      <c r="BS15" s="10">
        <v>46207.55</v>
      </c>
      <c r="BT15" s="10">
        <v>36159.040000000001</v>
      </c>
      <c r="BU15" s="10">
        <v>30288.76</v>
      </c>
      <c r="BV15" s="10">
        <v>19626.849999999999</v>
      </c>
      <c r="BW15" s="10">
        <v>58207.72</v>
      </c>
      <c r="BX15" s="10">
        <v>19378.849999999999</v>
      </c>
      <c r="BY15" s="10">
        <v>28349.8</v>
      </c>
      <c r="BZ15" s="10">
        <v>21245.1</v>
      </c>
      <c r="CA15" s="10">
        <v>22468.09</v>
      </c>
    </row>
    <row r="16" spans="1:79" x14ac:dyDescent="0.3">
      <c r="A16" s="9" t="s">
        <v>93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687.62</v>
      </c>
      <c r="AX16" s="10">
        <v>0</v>
      </c>
      <c r="AY16" s="10">
        <v>6050.59</v>
      </c>
      <c r="AZ16" s="10">
        <v>2067.96</v>
      </c>
      <c r="BA16" s="10">
        <v>2024.21</v>
      </c>
      <c r="BB16" s="10">
        <v>0</v>
      </c>
      <c r="BC16" s="10">
        <v>12544.64</v>
      </c>
      <c r="BD16" s="10">
        <v>9834.94</v>
      </c>
      <c r="BE16" s="10">
        <v>0</v>
      </c>
      <c r="BF16" s="10">
        <v>15028.73</v>
      </c>
      <c r="BG16" s="10">
        <v>-8225.07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67.27</v>
      </c>
      <c r="BN16" s="10">
        <v>0</v>
      </c>
      <c r="BO16" s="10">
        <v>0</v>
      </c>
      <c r="BP16" s="10">
        <v>0</v>
      </c>
      <c r="BQ16" s="10">
        <v>556.63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</row>
    <row r="17" spans="1:79" x14ac:dyDescent="0.3">
      <c r="A17" s="11" t="s">
        <v>94</v>
      </c>
      <c r="B17" s="6">
        <f t="shared" ref="B17:AG17" si="3">SUM(B14:B16)</f>
        <v>-6339.04</v>
      </c>
      <c r="C17" s="6">
        <f t="shared" si="3"/>
        <v>8869.23</v>
      </c>
      <c r="D17" s="6">
        <f t="shared" si="3"/>
        <v>8652.2000000000007</v>
      </c>
      <c r="E17" s="6">
        <f t="shared" si="3"/>
        <v>17289.919999999998</v>
      </c>
      <c r="F17" s="6">
        <f t="shared" si="3"/>
        <v>20987.63</v>
      </c>
      <c r="G17" s="6">
        <f t="shared" si="3"/>
        <v>56685.1</v>
      </c>
      <c r="H17" s="6">
        <f t="shared" si="3"/>
        <v>5209.58</v>
      </c>
      <c r="I17" s="6">
        <f t="shared" si="3"/>
        <v>3311.02</v>
      </c>
      <c r="J17" s="6">
        <f t="shared" si="3"/>
        <v>20871.78</v>
      </c>
      <c r="K17" s="6">
        <f t="shared" si="3"/>
        <v>19753.439999999999</v>
      </c>
      <c r="L17" s="6">
        <f t="shared" si="3"/>
        <v>9134.7199999999993</v>
      </c>
      <c r="M17" s="6">
        <f t="shared" si="3"/>
        <v>20364.38</v>
      </c>
      <c r="N17" s="6">
        <f t="shared" si="3"/>
        <v>16042.69</v>
      </c>
      <c r="O17" s="6">
        <f t="shared" si="3"/>
        <v>17747.75</v>
      </c>
      <c r="P17" s="6">
        <f t="shared" si="3"/>
        <v>22847.8</v>
      </c>
      <c r="Q17" s="6">
        <f t="shared" si="3"/>
        <v>46508.51</v>
      </c>
      <c r="R17" s="6">
        <f t="shared" si="3"/>
        <v>14282.89</v>
      </c>
      <c r="S17" s="6">
        <f t="shared" si="3"/>
        <v>16202.91</v>
      </c>
      <c r="T17" s="6">
        <f t="shared" si="3"/>
        <v>14221.71</v>
      </c>
      <c r="U17" s="6">
        <f t="shared" si="3"/>
        <v>12069.47</v>
      </c>
      <c r="V17" s="6">
        <f t="shared" si="3"/>
        <v>22117.439999999999</v>
      </c>
      <c r="W17" s="6">
        <f t="shared" si="3"/>
        <v>13698.84</v>
      </c>
      <c r="X17" s="6">
        <f t="shared" si="3"/>
        <v>9224.5499999999993</v>
      </c>
      <c r="Y17" s="6">
        <f t="shared" si="3"/>
        <v>16473.84</v>
      </c>
      <c r="Z17" s="6">
        <f t="shared" si="3"/>
        <v>19531.5</v>
      </c>
      <c r="AA17" s="6">
        <f t="shared" si="3"/>
        <v>14694.11</v>
      </c>
      <c r="AB17" s="6">
        <f t="shared" si="3"/>
        <v>34825.279999999999</v>
      </c>
      <c r="AC17" s="6">
        <f t="shared" si="3"/>
        <v>74135</v>
      </c>
      <c r="AD17" s="6">
        <f t="shared" si="3"/>
        <v>39540.019999999997</v>
      </c>
      <c r="AE17" s="6">
        <f t="shared" si="3"/>
        <v>60404.7</v>
      </c>
      <c r="AF17" s="6">
        <f t="shared" si="3"/>
        <v>34441.760000000002</v>
      </c>
      <c r="AG17" s="6">
        <f t="shared" si="3"/>
        <v>37509.910000000003</v>
      </c>
      <c r="AH17" s="6">
        <f t="shared" ref="AH17:BM17" si="4">SUM(AH14:AH16)</f>
        <v>10981.7</v>
      </c>
      <c r="AI17" s="6">
        <f t="shared" si="4"/>
        <v>30693.77</v>
      </c>
      <c r="AJ17" s="6">
        <f t="shared" si="4"/>
        <v>43667.64</v>
      </c>
      <c r="AK17" s="6">
        <f t="shared" si="4"/>
        <v>27876.12</v>
      </c>
      <c r="AL17" s="6">
        <f t="shared" si="4"/>
        <v>26176.18</v>
      </c>
      <c r="AM17" s="6">
        <f t="shared" si="4"/>
        <v>85302.48</v>
      </c>
      <c r="AN17" s="6">
        <f t="shared" si="4"/>
        <v>44779.18</v>
      </c>
      <c r="AO17" s="6">
        <f t="shared" si="4"/>
        <v>59615.43</v>
      </c>
      <c r="AP17" s="6">
        <f t="shared" si="4"/>
        <v>38181.279999999999</v>
      </c>
      <c r="AQ17" s="6">
        <f t="shared" si="4"/>
        <v>33348.480000000003</v>
      </c>
      <c r="AR17" s="6">
        <f t="shared" si="4"/>
        <v>34175.449999999997</v>
      </c>
      <c r="AS17" s="6">
        <f t="shared" si="4"/>
        <v>36987.519999999997</v>
      </c>
      <c r="AT17" s="6">
        <f t="shared" si="4"/>
        <v>21067.67</v>
      </c>
      <c r="AU17" s="6">
        <f t="shared" si="4"/>
        <v>25033.14</v>
      </c>
      <c r="AV17" s="6">
        <f t="shared" si="4"/>
        <v>27637.94</v>
      </c>
      <c r="AW17" s="6">
        <f t="shared" si="4"/>
        <v>21599.93</v>
      </c>
      <c r="AX17" s="6">
        <f t="shared" si="4"/>
        <v>18807.509999999998</v>
      </c>
      <c r="AY17" s="6">
        <f t="shared" si="4"/>
        <v>72879.75</v>
      </c>
      <c r="AZ17" s="6">
        <f t="shared" si="4"/>
        <v>32944.85</v>
      </c>
      <c r="BA17" s="6">
        <f t="shared" si="4"/>
        <v>42402.35</v>
      </c>
      <c r="BB17" s="6">
        <f t="shared" si="4"/>
        <v>52023.72</v>
      </c>
      <c r="BC17" s="6">
        <f t="shared" si="4"/>
        <v>68439.149999999994</v>
      </c>
      <c r="BD17" s="6">
        <f t="shared" si="4"/>
        <v>51430.53</v>
      </c>
      <c r="BE17" s="6">
        <f t="shared" si="4"/>
        <v>54803.46</v>
      </c>
      <c r="BF17" s="6">
        <f t="shared" si="4"/>
        <v>112955.48999999999</v>
      </c>
      <c r="BG17" s="6">
        <f t="shared" si="4"/>
        <v>64703.73</v>
      </c>
      <c r="BH17" s="6">
        <f t="shared" si="4"/>
        <v>58145.2</v>
      </c>
      <c r="BI17" s="6">
        <f t="shared" si="4"/>
        <v>29110.04</v>
      </c>
      <c r="BJ17" s="6">
        <f t="shared" si="4"/>
        <v>21089.91</v>
      </c>
      <c r="BK17" s="6">
        <f t="shared" si="4"/>
        <v>53938.64</v>
      </c>
      <c r="BL17" s="6">
        <f t="shared" si="4"/>
        <v>37169.65</v>
      </c>
      <c r="BM17" s="6">
        <f t="shared" si="4"/>
        <v>25096.36</v>
      </c>
      <c r="BN17" s="6">
        <f t="shared" ref="BN17:CA17" si="5">SUM(BN14:BN16)</f>
        <v>51914.94</v>
      </c>
      <c r="BO17" s="6">
        <f t="shared" si="5"/>
        <v>22186.34</v>
      </c>
      <c r="BP17" s="6">
        <f t="shared" si="5"/>
        <v>30420.34</v>
      </c>
      <c r="BQ17" s="6">
        <f t="shared" si="5"/>
        <v>36862.449999999997</v>
      </c>
      <c r="BR17" s="6">
        <f t="shared" si="5"/>
        <v>56038.57</v>
      </c>
      <c r="BS17" s="6">
        <f t="shared" si="5"/>
        <v>46207.55</v>
      </c>
      <c r="BT17" s="6">
        <f t="shared" si="5"/>
        <v>36159.040000000001</v>
      </c>
      <c r="BU17" s="6">
        <f t="shared" si="5"/>
        <v>30288.76</v>
      </c>
      <c r="BV17" s="6">
        <f t="shared" si="5"/>
        <v>19626.849999999999</v>
      </c>
      <c r="BW17" s="6">
        <f t="shared" si="5"/>
        <v>58207.72</v>
      </c>
      <c r="BX17" s="6">
        <f t="shared" si="5"/>
        <v>19378.849999999999</v>
      </c>
      <c r="BY17" s="6">
        <f t="shared" si="5"/>
        <v>28349.8</v>
      </c>
      <c r="BZ17" s="6">
        <f t="shared" si="5"/>
        <v>21245.1</v>
      </c>
      <c r="CA17" s="6">
        <f t="shared" si="5"/>
        <v>22468.09</v>
      </c>
    </row>
    <row r="18" spans="1:79" x14ac:dyDescent="0.3">
      <c r="A18" s="7" t="s">
        <v>95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</row>
    <row r="19" spans="1:79" x14ac:dyDescent="0.3">
      <c r="A19" s="9" t="s">
        <v>96</v>
      </c>
      <c r="B19" s="10">
        <v>0</v>
      </c>
      <c r="C19" s="10">
        <v>75.22</v>
      </c>
      <c r="D19" s="10">
        <v>343.9</v>
      </c>
      <c r="E19" s="10">
        <v>35.11</v>
      </c>
      <c r="F19" s="10">
        <v>35.11</v>
      </c>
      <c r="G19" s="10">
        <v>105.33</v>
      </c>
      <c r="H19" s="10">
        <v>0</v>
      </c>
      <c r="I19" s="10">
        <v>0</v>
      </c>
      <c r="J19" s="10">
        <v>0</v>
      </c>
      <c r="K19" s="10">
        <v>0</v>
      </c>
      <c r="L19" s="10">
        <v>450</v>
      </c>
      <c r="M19" s="10">
        <v>553.67999999999995</v>
      </c>
      <c r="N19" s="10">
        <v>0</v>
      </c>
      <c r="O19" s="10">
        <v>438.75</v>
      </c>
      <c r="P19" s="10">
        <v>72</v>
      </c>
      <c r="Q19" s="10">
        <v>72</v>
      </c>
      <c r="R19" s="10">
        <v>36</v>
      </c>
      <c r="S19" s="10">
        <v>175.68</v>
      </c>
      <c r="T19" s="10">
        <v>72</v>
      </c>
      <c r="U19" s="10">
        <v>366.96</v>
      </c>
      <c r="V19" s="10">
        <v>0</v>
      </c>
      <c r="W19" s="10">
        <v>72</v>
      </c>
      <c r="X19" s="10">
        <v>124.15</v>
      </c>
      <c r="Y19" s="10">
        <v>32.729999999999997</v>
      </c>
      <c r="Z19" s="10">
        <v>0</v>
      </c>
      <c r="AA19" s="10">
        <v>32.729999999999997</v>
      </c>
      <c r="AB19" s="10">
        <v>72</v>
      </c>
      <c r="AC19" s="10">
        <v>316.5</v>
      </c>
      <c r="AD19" s="10">
        <v>32.729999999999997</v>
      </c>
      <c r="AE19" s="10">
        <v>206.19</v>
      </c>
      <c r="AF19" s="10">
        <v>33.18</v>
      </c>
      <c r="AG19" s="10">
        <v>33.18</v>
      </c>
      <c r="AH19" s="10">
        <v>102.86</v>
      </c>
      <c r="AI19" s="10">
        <v>215.68</v>
      </c>
      <c r="AJ19" s="10">
        <v>0</v>
      </c>
      <c r="AK19" s="10">
        <v>73</v>
      </c>
      <c r="AL19" s="10">
        <v>29.68</v>
      </c>
      <c r="AM19" s="10">
        <v>146</v>
      </c>
      <c r="AN19" s="10">
        <v>394.2</v>
      </c>
      <c r="AO19" s="10">
        <v>36.5</v>
      </c>
      <c r="AP19" s="10">
        <v>73</v>
      </c>
      <c r="AQ19" s="10">
        <v>0</v>
      </c>
      <c r="AR19" s="10">
        <v>37.200000000000003</v>
      </c>
      <c r="AS19" s="10">
        <v>186</v>
      </c>
      <c r="AT19" s="10">
        <v>297.60000000000002</v>
      </c>
      <c r="AU19" s="10">
        <v>558</v>
      </c>
      <c r="AV19" s="10">
        <v>595.20000000000005</v>
      </c>
      <c r="AW19" s="10">
        <v>520.79999999999995</v>
      </c>
      <c r="AX19" s="10">
        <v>446.4</v>
      </c>
      <c r="AY19" s="10">
        <v>260.39999999999998</v>
      </c>
      <c r="AZ19" s="10">
        <v>698.8</v>
      </c>
      <c r="BA19" s="10">
        <v>148.80000000000001</v>
      </c>
      <c r="BB19" s="10">
        <v>74.400000000000006</v>
      </c>
      <c r="BC19" s="10">
        <v>37.200000000000003</v>
      </c>
      <c r="BD19" s="10">
        <v>115.8</v>
      </c>
      <c r="BE19" s="10">
        <v>38.6</v>
      </c>
      <c r="BF19" s="10">
        <v>77.2</v>
      </c>
      <c r="BG19" s="10">
        <v>77.2</v>
      </c>
      <c r="BH19" s="10">
        <v>0</v>
      </c>
      <c r="BI19" s="10">
        <v>154.4</v>
      </c>
      <c r="BJ19" s="10">
        <v>38.6</v>
      </c>
      <c r="BK19" s="10">
        <v>0</v>
      </c>
      <c r="BL19" s="10">
        <v>115.8</v>
      </c>
      <c r="BM19" s="10">
        <v>539.70000000000005</v>
      </c>
      <c r="BN19" s="10">
        <v>115.8</v>
      </c>
      <c r="BO19" s="10">
        <v>270.2</v>
      </c>
      <c r="BP19" s="10">
        <v>197.4</v>
      </c>
      <c r="BQ19" s="10">
        <v>238.2</v>
      </c>
      <c r="BR19" s="10">
        <v>238.2</v>
      </c>
      <c r="BS19" s="10">
        <v>79.400000000000006</v>
      </c>
      <c r="BT19" s="10">
        <v>79.400000000000006</v>
      </c>
      <c r="BU19" s="10">
        <v>39.700000000000003</v>
      </c>
      <c r="BV19" s="10">
        <v>39.700000000000003</v>
      </c>
      <c r="BW19" s="10">
        <v>79.400000000000006</v>
      </c>
      <c r="BX19" s="10">
        <v>119.1</v>
      </c>
      <c r="BY19" s="10">
        <v>507.8</v>
      </c>
      <c r="BZ19" s="10">
        <v>0</v>
      </c>
      <c r="CA19" s="10">
        <v>39.700000000000003</v>
      </c>
    </row>
    <row r="20" spans="1:79" x14ac:dyDescent="0.3">
      <c r="A20" s="9" t="s">
        <v>97</v>
      </c>
      <c r="B20" s="10">
        <v>481.82</v>
      </c>
      <c r="C20" s="10">
        <v>1974.59</v>
      </c>
      <c r="D20" s="10">
        <v>0</v>
      </c>
      <c r="E20" s="10">
        <v>503.64</v>
      </c>
      <c r="F20" s="10">
        <v>283.82</v>
      </c>
      <c r="G20" s="10">
        <v>50.67</v>
      </c>
      <c r="H20" s="10">
        <v>118.09</v>
      </c>
      <c r="I20" s="10">
        <v>0</v>
      </c>
      <c r="J20" s="10">
        <v>533.19000000000005</v>
      </c>
      <c r="K20" s="10">
        <v>202.18</v>
      </c>
      <c r="L20" s="10">
        <v>0</v>
      </c>
      <c r="M20" s="10">
        <v>363.64</v>
      </c>
      <c r="N20" s="10">
        <v>806.92</v>
      </c>
      <c r="O20" s="10">
        <v>642.11</v>
      </c>
      <c r="P20" s="10">
        <v>73.13</v>
      </c>
      <c r="Q20" s="10">
        <v>100.36</v>
      </c>
      <c r="R20" s="10">
        <v>0</v>
      </c>
      <c r="S20" s="10">
        <v>241.59</v>
      </c>
      <c r="T20" s="10">
        <v>0</v>
      </c>
      <c r="U20" s="10">
        <v>15.91</v>
      </c>
      <c r="V20" s="10">
        <v>240.39</v>
      </c>
      <c r="W20" s="10">
        <v>165.18</v>
      </c>
      <c r="X20" s="10">
        <v>58.25</v>
      </c>
      <c r="Y20" s="10">
        <v>265.45</v>
      </c>
      <c r="Z20" s="10">
        <v>1366.59</v>
      </c>
      <c r="AA20" s="10">
        <v>899.02</v>
      </c>
      <c r="AB20" s="10">
        <v>457.45</v>
      </c>
      <c r="AC20" s="10">
        <v>966.15</v>
      </c>
      <c r="AD20" s="10">
        <v>162.63</v>
      </c>
      <c r="AE20" s="10">
        <v>357.45</v>
      </c>
      <c r="AF20" s="10">
        <v>972.96</v>
      </c>
      <c r="AG20" s="10">
        <v>0</v>
      </c>
      <c r="AH20" s="10">
        <v>31.77</v>
      </c>
      <c r="AI20" s="10">
        <v>1031.9100000000001</v>
      </c>
      <c r="AJ20" s="10">
        <v>380.05</v>
      </c>
      <c r="AK20" s="10">
        <v>390.25</v>
      </c>
      <c r="AL20" s="10">
        <v>106.19</v>
      </c>
      <c r="AM20" s="10">
        <v>0</v>
      </c>
      <c r="AN20" s="10">
        <v>526.36</v>
      </c>
      <c r="AO20" s="10">
        <v>409.57</v>
      </c>
      <c r="AP20" s="10">
        <v>967.59</v>
      </c>
      <c r="AQ20" s="10">
        <v>1016.32</v>
      </c>
      <c r="AR20" s="10">
        <v>247.97</v>
      </c>
      <c r="AS20" s="10">
        <v>2460.31</v>
      </c>
      <c r="AT20" s="10">
        <v>3868.88</v>
      </c>
      <c r="AU20" s="10">
        <v>327.58999999999997</v>
      </c>
      <c r="AV20" s="10">
        <v>115.58</v>
      </c>
      <c r="AW20" s="10">
        <v>3640.56</v>
      </c>
      <c r="AX20" s="10">
        <v>1718.13</v>
      </c>
      <c r="AY20" s="10">
        <v>1509.94</v>
      </c>
      <c r="AZ20" s="10">
        <v>1509.04</v>
      </c>
      <c r="BA20" s="10">
        <v>324.54000000000002</v>
      </c>
      <c r="BB20" s="10">
        <v>2020.49</v>
      </c>
      <c r="BC20" s="10">
        <v>4786.3500000000004</v>
      </c>
      <c r="BD20" s="10">
        <v>4438.95</v>
      </c>
      <c r="BE20" s="10">
        <v>8512.51</v>
      </c>
      <c r="BF20" s="10">
        <v>7749.17</v>
      </c>
      <c r="BG20" s="10">
        <v>2802.45</v>
      </c>
      <c r="BH20" s="10">
        <v>1579.32</v>
      </c>
      <c r="BI20" s="10">
        <v>171.07</v>
      </c>
      <c r="BJ20" s="10">
        <v>-2021.82</v>
      </c>
      <c r="BK20" s="10">
        <v>1051.82</v>
      </c>
      <c r="BL20" s="10">
        <v>0</v>
      </c>
      <c r="BM20" s="10">
        <v>491.42</v>
      </c>
      <c r="BN20" s="10">
        <v>32.729999999999997</v>
      </c>
      <c r="BO20" s="10">
        <v>253</v>
      </c>
      <c r="BP20" s="10">
        <v>340</v>
      </c>
      <c r="BQ20" s="10">
        <v>401.22</v>
      </c>
      <c r="BR20" s="10">
        <v>0</v>
      </c>
      <c r="BS20" s="10">
        <v>0</v>
      </c>
      <c r="BT20" s="10">
        <v>0</v>
      </c>
      <c r="BU20" s="10">
        <v>0</v>
      </c>
      <c r="BV20" s="10">
        <v>999.09</v>
      </c>
      <c r="BW20" s="10">
        <v>794.75</v>
      </c>
      <c r="BX20" s="10">
        <v>51.86</v>
      </c>
      <c r="BY20" s="10">
        <v>109.1</v>
      </c>
      <c r="BZ20" s="10">
        <v>15.41</v>
      </c>
      <c r="CA20" s="10">
        <v>1591.72</v>
      </c>
    </row>
    <row r="21" spans="1:79" x14ac:dyDescent="0.3">
      <c r="A21" s="9" t="s">
        <v>98</v>
      </c>
      <c r="B21" s="10">
        <v>1942.73</v>
      </c>
      <c r="C21" s="10">
        <v>7105.45</v>
      </c>
      <c r="D21" s="10">
        <v>7719.09</v>
      </c>
      <c r="E21" s="10">
        <v>8506.82</v>
      </c>
      <c r="F21" s="10">
        <v>4152.2700000000004</v>
      </c>
      <c r="G21" s="10">
        <v>7994.72</v>
      </c>
      <c r="H21" s="10">
        <v>13354.97</v>
      </c>
      <c r="I21" s="10">
        <v>8017.48</v>
      </c>
      <c r="J21" s="10">
        <v>1619.09</v>
      </c>
      <c r="K21" s="10">
        <v>1060</v>
      </c>
      <c r="L21" s="10">
        <v>5506.09</v>
      </c>
      <c r="M21" s="10">
        <v>-706.03</v>
      </c>
      <c r="N21" s="10">
        <v>750</v>
      </c>
      <c r="O21" s="10">
        <v>981.14</v>
      </c>
      <c r="P21" s="10">
        <v>550.45000000000005</v>
      </c>
      <c r="Q21" s="10">
        <v>500</v>
      </c>
      <c r="R21" s="10">
        <v>1375.45</v>
      </c>
      <c r="S21" s="10">
        <v>0</v>
      </c>
      <c r="T21" s="10">
        <v>0</v>
      </c>
      <c r="U21" s="10">
        <v>591.82000000000005</v>
      </c>
      <c r="V21" s="10">
        <v>350</v>
      </c>
      <c r="W21" s="10">
        <v>1190</v>
      </c>
      <c r="X21" s="10">
        <v>1936</v>
      </c>
      <c r="Y21" s="10">
        <v>950</v>
      </c>
      <c r="Z21" s="10">
        <v>2777.96</v>
      </c>
      <c r="AA21" s="10">
        <v>2593.1799999999998</v>
      </c>
      <c r="AB21" s="10">
        <v>5976.86</v>
      </c>
      <c r="AC21" s="10">
        <v>7027.53</v>
      </c>
      <c r="AD21" s="10">
        <v>612.5</v>
      </c>
      <c r="AE21" s="10">
        <v>1100</v>
      </c>
      <c r="AF21" s="10">
        <v>13932.95</v>
      </c>
      <c r="AG21" s="10">
        <v>11214.77</v>
      </c>
      <c r="AH21" s="10">
        <v>3909</v>
      </c>
      <c r="AI21" s="10">
        <v>7915</v>
      </c>
      <c r="AJ21" s="10">
        <v>1740</v>
      </c>
      <c r="AK21" s="10">
        <v>4150.55</v>
      </c>
      <c r="AL21" s="10">
        <v>1055.23</v>
      </c>
      <c r="AM21" s="10">
        <v>5760</v>
      </c>
      <c r="AN21" s="10">
        <v>7712.73</v>
      </c>
      <c r="AO21" s="10">
        <v>7195.68</v>
      </c>
      <c r="AP21" s="10">
        <v>5659.09</v>
      </c>
      <c r="AQ21" s="10">
        <v>2150</v>
      </c>
      <c r="AR21" s="10">
        <v>1050</v>
      </c>
      <c r="AS21" s="10">
        <v>2970</v>
      </c>
      <c r="AT21" s="10">
        <v>2427.5</v>
      </c>
      <c r="AU21" s="10">
        <v>300</v>
      </c>
      <c r="AV21" s="10">
        <v>4327.5</v>
      </c>
      <c r="AW21" s="10">
        <v>28337.62</v>
      </c>
      <c r="AX21" s="10">
        <v>3203.19</v>
      </c>
      <c r="AY21" s="10">
        <v>10449.68</v>
      </c>
      <c r="AZ21" s="10">
        <v>1348.61</v>
      </c>
      <c r="BA21" s="10">
        <v>2703.75</v>
      </c>
      <c r="BB21" s="10">
        <v>1675</v>
      </c>
      <c r="BC21" s="10">
        <v>3230</v>
      </c>
      <c r="BD21" s="10">
        <v>2071</v>
      </c>
      <c r="BE21" s="10">
        <v>5356</v>
      </c>
      <c r="BF21" s="10">
        <v>7959.09</v>
      </c>
      <c r="BG21" s="10">
        <v>6365</v>
      </c>
      <c r="BH21" s="10">
        <v>13704.18</v>
      </c>
      <c r="BI21" s="10">
        <v>1636.36</v>
      </c>
      <c r="BJ21" s="10">
        <v>380</v>
      </c>
      <c r="BK21" s="10">
        <v>6449.33</v>
      </c>
      <c r="BL21" s="10">
        <v>25789.54</v>
      </c>
      <c r="BM21" s="10">
        <v>23165.03</v>
      </c>
      <c r="BN21" s="10">
        <v>31568.31</v>
      </c>
      <c r="BO21" s="10">
        <v>23870.959999999999</v>
      </c>
      <c r="BP21" s="10">
        <v>38362.400000000001</v>
      </c>
      <c r="BQ21" s="10">
        <v>24462.1</v>
      </c>
      <c r="BR21" s="10">
        <v>6335.8</v>
      </c>
      <c r="BS21" s="10">
        <v>2479.1</v>
      </c>
      <c r="BT21" s="10">
        <v>33890</v>
      </c>
      <c r="BU21" s="10">
        <v>10016.36</v>
      </c>
      <c r="BV21" s="10">
        <v>7091.2</v>
      </c>
      <c r="BW21" s="10">
        <v>18006.73</v>
      </c>
      <c r="BX21" s="10">
        <v>9636.5499999999993</v>
      </c>
      <c r="BY21" s="10">
        <v>7863.85</v>
      </c>
      <c r="BZ21" s="10">
        <v>4119.8</v>
      </c>
      <c r="CA21" s="10">
        <v>1157</v>
      </c>
    </row>
    <row r="22" spans="1:79" x14ac:dyDescent="0.3">
      <c r="A22" s="9" t="s">
        <v>99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1300</v>
      </c>
      <c r="K22" s="10">
        <v>275.39</v>
      </c>
      <c r="L22" s="10">
        <v>3.25</v>
      </c>
      <c r="M22" s="10">
        <v>0</v>
      </c>
      <c r="N22" s="10">
        <v>0</v>
      </c>
      <c r="O22" s="10">
        <v>600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852.5</v>
      </c>
      <c r="V22" s="10">
        <v>0</v>
      </c>
      <c r="W22" s="10">
        <v>226.49</v>
      </c>
      <c r="X22" s="10">
        <v>-47.77</v>
      </c>
      <c r="Y22" s="10">
        <v>1250</v>
      </c>
      <c r="Z22" s="10">
        <v>0</v>
      </c>
      <c r="AA22" s="10">
        <v>980</v>
      </c>
      <c r="AB22" s="10">
        <v>777.27</v>
      </c>
      <c r="AC22" s="10">
        <v>131.55000000000001</v>
      </c>
      <c r="AD22" s="10">
        <v>61.32</v>
      </c>
      <c r="AE22" s="10">
        <v>0</v>
      </c>
      <c r="AF22" s="10">
        <v>109.75</v>
      </c>
      <c r="AG22" s="10">
        <v>0</v>
      </c>
      <c r="AH22" s="10">
        <v>328.45</v>
      </c>
      <c r="AI22" s="10">
        <v>92.08</v>
      </c>
      <c r="AJ22" s="10">
        <v>1994.36</v>
      </c>
      <c r="AK22" s="10">
        <v>152.97</v>
      </c>
      <c r="AL22" s="10">
        <v>-153.58000000000001</v>
      </c>
      <c r="AM22" s="10">
        <v>80.45</v>
      </c>
      <c r="AN22" s="10">
        <v>4473.1000000000004</v>
      </c>
      <c r="AO22" s="10">
        <v>172.73</v>
      </c>
      <c r="AP22" s="10">
        <v>538.13</v>
      </c>
      <c r="AQ22" s="10">
        <v>179.24</v>
      </c>
      <c r="AR22" s="10">
        <v>1396.9</v>
      </c>
      <c r="AS22" s="10">
        <v>984.12</v>
      </c>
      <c r="AT22" s="10">
        <v>1697.34</v>
      </c>
      <c r="AU22" s="10">
        <v>213.55</v>
      </c>
      <c r="AV22" s="10">
        <v>777.27</v>
      </c>
      <c r="AW22" s="10">
        <v>0</v>
      </c>
      <c r="AX22" s="10">
        <v>77.27</v>
      </c>
      <c r="AY22" s="10">
        <v>809.09</v>
      </c>
      <c r="AZ22" s="10">
        <v>79.09</v>
      </c>
      <c r="BA22" s="10">
        <v>122.73</v>
      </c>
      <c r="BB22" s="10">
        <v>1559.1</v>
      </c>
      <c r="BC22" s="10">
        <v>347.46</v>
      </c>
      <c r="BD22" s="10">
        <v>3746.35</v>
      </c>
      <c r="BE22" s="10">
        <v>84.73</v>
      </c>
      <c r="BF22" s="10">
        <v>0</v>
      </c>
      <c r="BG22" s="10">
        <v>4481.82</v>
      </c>
      <c r="BH22" s="10">
        <v>1884.56</v>
      </c>
      <c r="BI22" s="10">
        <v>0</v>
      </c>
      <c r="BJ22" s="10">
        <v>142.58000000000001</v>
      </c>
      <c r="BK22" s="10">
        <v>951.82</v>
      </c>
      <c r="BL22" s="10">
        <v>-13.49</v>
      </c>
      <c r="BM22" s="10">
        <v>814.48</v>
      </c>
      <c r="BN22" s="10">
        <v>163.63999999999999</v>
      </c>
      <c r="BO22" s="10">
        <v>166.73</v>
      </c>
      <c r="BP22" s="10">
        <v>0</v>
      </c>
      <c r="BQ22" s="10">
        <v>186.36</v>
      </c>
      <c r="BR22" s="10">
        <v>1185.94</v>
      </c>
      <c r="BS22" s="10">
        <v>825.47</v>
      </c>
      <c r="BT22" s="10">
        <v>0</v>
      </c>
      <c r="BU22" s="10">
        <v>214.54</v>
      </c>
      <c r="BV22" s="10">
        <v>0</v>
      </c>
      <c r="BW22" s="10">
        <v>185.38</v>
      </c>
      <c r="BX22" s="10">
        <v>435.45</v>
      </c>
      <c r="BY22" s="10">
        <v>112.73</v>
      </c>
      <c r="BZ22" s="10">
        <v>79.55</v>
      </c>
      <c r="CA22" s="10">
        <v>2007.95</v>
      </c>
    </row>
    <row r="23" spans="1:79" x14ac:dyDescent="0.3">
      <c r="A23" s="9" t="s">
        <v>100</v>
      </c>
      <c r="B23" s="10">
        <v>86.01</v>
      </c>
      <c r="C23" s="10">
        <v>0</v>
      </c>
      <c r="D23" s="10">
        <v>88.18</v>
      </c>
      <c r="E23" s="10">
        <v>6492.3</v>
      </c>
      <c r="F23" s="10">
        <v>3624.95</v>
      </c>
      <c r="G23" s="10">
        <v>-220</v>
      </c>
      <c r="H23" s="10">
        <v>1476.41</v>
      </c>
      <c r="I23" s="10">
        <v>1018.54</v>
      </c>
      <c r="J23" s="10">
        <v>2713.88</v>
      </c>
      <c r="K23" s="10">
        <v>2209.5300000000002</v>
      </c>
      <c r="L23" s="10">
        <v>3257.82</v>
      </c>
      <c r="M23" s="10">
        <v>2019.26</v>
      </c>
      <c r="N23" s="10">
        <v>2687.28</v>
      </c>
      <c r="O23" s="10">
        <v>536.79999999999995</v>
      </c>
      <c r="P23" s="10">
        <v>700</v>
      </c>
      <c r="Q23" s="10">
        <v>170</v>
      </c>
      <c r="R23" s="10">
        <v>1077.56</v>
      </c>
      <c r="S23" s="10">
        <v>9735.4500000000007</v>
      </c>
      <c r="T23" s="10">
        <v>2254.6</v>
      </c>
      <c r="U23" s="10">
        <v>2270.5100000000002</v>
      </c>
      <c r="V23" s="10">
        <v>2168.4499999999998</v>
      </c>
      <c r="W23" s="10">
        <v>340.91</v>
      </c>
      <c r="X23" s="10">
        <v>2136.7199999999998</v>
      </c>
      <c r="Y23" s="10">
        <v>1051.82</v>
      </c>
      <c r="Z23" s="10">
        <v>993.64</v>
      </c>
      <c r="AA23" s="10">
        <v>2344.5500000000002</v>
      </c>
      <c r="AB23" s="10">
        <v>5108.62</v>
      </c>
      <c r="AC23" s="10">
        <v>698.55</v>
      </c>
      <c r="AD23" s="10">
        <v>420</v>
      </c>
      <c r="AE23" s="10">
        <v>814</v>
      </c>
      <c r="AF23" s="10">
        <v>4299.8</v>
      </c>
      <c r="AG23" s="10">
        <v>199.09</v>
      </c>
      <c r="AH23" s="10">
        <v>0</v>
      </c>
      <c r="AI23" s="10">
        <v>394.55</v>
      </c>
      <c r="AJ23" s="10">
        <v>1531.81</v>
      </c>
      <c r="AK23" s="10">
        <v>289.08999999999997</v>
      </c>
      <c r="AL23" s="10">
        <v>0</v>
      </c>
      <c r="AM23" s="10">
        <v>5039.3</v>
      </c>
      <c r="AN23" s="10">
        <v>2475.35</v>
      </c>
      <c r="AO23" s="10">
        <v>7718.98</v>
      </c>
      <c r="AP23" s="10">
        <v>925.57</v>
      </c>
      <c r="AQ23" s="10">
        <v>504.66</v>
      </c>
      <c r="AR23" s="10">
        <v>8027.3</v>
      </c>
      <c r="AS23" s="10">
        <v>4280.04</v>
      </c>
      <c r="AT23" s="10">
        <v>1074.55</v>
      </c>
      <c r="AU23" s="10">
        <v>381.82</v>
      </c>
      <c r="AV23" s="10">
        <v>204.55</v>
      </c>
      <c r="AW23" s="10">
        <v>820.09</v>
      </c>
      <c r="AX23" s="10">
        <v>3604.82</v>
      </c>
      <c r="AY23" s="10">
        <v>13873.28</v>
      </c>
      <c r="AZ23" s="10">
        <v>20653.41</v>
      </c>
      <c r="BA23" s="10">
        <v>24207.22</v>
      </c>
      <c r="BB23" s="10">
        <v>28110.66</v>
      </c>
      <c r="BC23" s="10">
        <v>20656.189999999999</v>
      </c>
      <c r="BD23" s="10">
        <v>20346.099999999999</v>
      </c>
      <c r="BE23" s="10">
        <v>16570.669999999998</v>
      </c>
      <c r="BF23" s="10">
        <v>11285.08</v>
      </c>
      <c r="BG23" s="10">
        <v>-1130.1099999999999</v>
      </c>
      <c r="BH23" s="10">
        <v>6585.61</v>
      </c>
      <c r="BI23" s="10">
        <v>0</v>
      </c>
      <c r="BJ23" s="10">
        <v>-795.45</v>
      </c>
      <c r="BK23" s="10">
        <v>5667.31</v>
      </c>
      <c r="BL23" s="10">
        <v>3224.91</v>
      </c>
      <c r="BM23" s="10">
        <v>3972.41</v>
      </c>
      <c r="BN23" s="10">
        <v>837.28</v>
      </c>
      <c r="BO23" s="10">
        <v>346.59</v>
      </c>
      <c r="BP23" s="10">
        <v>8571.89</v>
      </c>
      <c r="BQ23" s="10">
        <v>3113.19</v>
      </c>
      <c r="BR23" s="10">
        <v>5070.99</v>
      </c>
      <c r="BS23" s="10">
        <v>2871.25</v>
      </c>
      <c r="BT23" s="10">
        <v>133.18</v>
      </c>
      <c r="BU23" s="10">
        <v>1799</v>
      </c>
      <c r="BV23" s="10">
        <v>4178.66</v>
      </c>
      <c r="BW23" s="10">
        <v>360</v>
      </c>
      <c r="BX23" s="10">
        <v>5643.84</v>
      </c>
      <c r="BY23" s="10">
        <v>1997.77</v>
      </c>
      <c r="BZ23" s="10">
        <v>6097.32</v>
      </c>
      <c r="CA23" s="10">
        <v>2416.1799999999998</v>
      </c>
    </row>
    <row r="24" spans="1:79" x14ac:dyDescent="0.3">
      <c r="A24" s="9" t="s">
        <v>101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237</v>
      </c>
      <c r="AA24" s="10">
        <v>20.65</v>
      </c>
      <c r="AB24" s="10">
        <v>0</v>
      </c>
      <c r="AC24" s="10">
        <v>382.08</v>
      </c>
      <c r="AD24" s="10">
        <v>260.91000000000003</v>
      </c>
      <c r="AE24" s="10">
        <v>69.290000000000006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768.27</v>
      </c>
      <c r="AO24" s="10">
        <v>89</v>
      </c>
      <c r="AP24" s="10">
        <v>0</v>
      </c>
      <c r="AQ24" s="10">
        <v>0</v>
      </c>
      <c r="AR24" s="10">
        <v>0</v>
      </c>
      <c r="AS24" s="10">
        <v>407.25</v>
      </c>
      <c r="AT24" s="10">
        <v>0</v>
      </c>
      <c r="AU24" s="10">
        <v>0</v>
      </c>
      <c r="AV24" s="10">
        <v>85.14</v>
      </c>
      <c r="AW24" s="10">
        <v>0</v>
      </c>
      <c r="AX24" s="10">
        <v>0</v>
      </c>
      <c r="AY24" s="10">
        <v>0</v>
      </c>
      <c r="AZ24" s="10">
        <v>21.94</v>
      </c>
      <c r="BA24" s="10">
        <v>0</v>
      </c>
      <c r="BB24" s="10">
        <v>0</v>
      </c>
      <c r="BC24" s="10">
        <v>93.65</v>
      </c>
      <c r="BD24" s="10">
        <v>0</v>
      </c>
      <c r="BE24" s="10">
        <v>0</v>
      </c>
      <c r="BF24" s="10">
        <v>0</v>
      </c>
      <c r="BG24" s="10">
        <v>508.09</v>
      </c>
      <c r="BH24" s="10">
        <v>520.35</v>
      </c>
      <c r="BI24" s="10">
        <v>647.16</v>
      </c>
      <c r="BJ24" s="10">
        <v>123.7</v>
      </c>
      <c r="BK24" s="10">
        <v>86.73</v>
      </c>
      <c r="BL24" s="10">
        <v>158.34</v>
      </c>
      <c r="BM24" s="10">
        <v>0</v>
      </c>
      <c r="BN24" s="10">
        <v>529.59</v>
      </c>
      <c r="BO24" s="10">
        <v>425.88</v>
      </c>
      <c r="BP24" s="10">
        <v>0</v>
      </c>
      <c r="BQ24" s="10">
        <v>0</v>
      </c>
      <c r="BR24" s="10">
        <v>71.62</v>
      </c>
      <c r="BS24" s="10">
        <v>0</v>
      </c>
      <c r="BT24" s="10">
        <v>0</v>
      </c>
      <c r="BU24" s="10">
        <v>0</v>
      </c>
      <c r="BV24" s="10">
        <v>0</v>
      </c>
      <c r="BW24" s="10">
        <v>131.32</v>
      </c>
      <c r="BX24" s="10">
        <v>0</v>
      </c>
      <c r="BY24" s="10">
        <v>0</v>
      </c>
      <c r="BZ24" s="10">
        <v>0</v>
      </c>
      <c r="CA24" s="10">
        <v>0</v>
      </c>
    </row>
    <row r="25" spans="1:79" x14ac:dyDescent="0.3">
      <c r="A25" s="9" t="s">
        <v>102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3000.39</v>
      </c>
      <c r="V25" s="10">
        <v>14.37</v>
      </c>
      <c r="W25" s="10">
        <v>0</v>
      </c>
      <c r="X25" s="10">
        <v>0</v>
      </c>
      <c r="Y25" s="10">
        <v>0</v>
      </c>
      <c r="Z25" s="10">
        <v>250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</row>
    <row r="26" spans="1:79" x14ac:dyDescent="0.3">
      <c r="A26" s="11" t="s">
        <v>103</v>
      </c>
      <c r="B26" s="6">
        <f t="shared" ref="B26:AG26" si="6">SUM(B19:B25)</f>
        <v>2510.5600000000004</v>
      </c>
      <c r="C26" s="6">
        <f t="shared" si="6"/>
        <v>9155.26</v>
      </c>
      <c r="D26" s="6">
        <f t="shared" si="6"/>
        <v>8151.17</v>
      </c>
      <c r="E26" s="6">
        <f t="shared" si="6"/>
        <v>15537.869999999999</v>
      </c>
      <c r="F26" s="6">
        <f t="shared" si="6"/>
        <v>8096.1500000000005</v>
      </c>
      <c r="G26" s="6">
        <f t="shared" si="6"/>
        <v>7930.72</v>
      </c>
      <c r="H26" s="6">
        <f t="shared" si="6"/>
        <v>14949.47</v>
      </c>
      <c r="I26" s="6">
        <f t="shared" si="6"/>
        <v>9036.02</v>
      </c>
      <c r="J26" s="6">
        <f t="shared" si="6"/>
        <v>6166.16</v>
      </c>
      <c r="K26" s="6">
        <f t="shared" si="6"/>
        <v>3747.1000000000004</v>
      </c>
      <c r="L26" s="6">
        <f t="shared" si="6"/>
        <v>9217.16</v>
      </c>
      <c r="M26" s="6">
        <f t="shared" si="6"/>
        <v>2230.5500000000002</v>
      </c>
      <c r="N26" s="6">
        <f t="shared" si="6"/>
        <v>4244.2000000000007</v>
      </c>
      <c r="O26" s="6">
        <f t="shared" si="6"/>
        <v>3198.8</v>
      </c>
      <c r="P26" s="6">
        <f t="shared" si="6"/>
        <v>1395.58</v>
      </c>
      <c r="Q26" s="6">
        <f t="shared" si="6"/>
        <v>842.36</v>
      </c>
      <c r="R26" s="6">
        <f t="shared" si="6"/>
        <v>2489.0100000000002</v>
      </c>
      <c r="S26" s="6">
        <f t="shared" si="6"/>
        <v>10152.720000000001</v>
      </c>
      <c r="T26" s="6">
        <f t="shared" si="6"/>
        <v>2326.6</v>
      </c>
      <c r="U26" s="6">
        <f t="shared" si="6"/>
        <v>7098.09</v>
      </c>
      <c r="V26" s="6">
        <f t="shared" si="6"/>
        <v>2773.2099999999996</v>
      </c>
      <c r="W26" s="6">
        <f t="shared" si="6"/>
        <v>1994.5800000000002</v>
      </c>
      <c r="X26" s="6">
        <f t="shared" si="6"/>
        <v>4207.3500000000004</v>
      </c>
      <c r="Y26" s="6">
        <f t="shared" si="6"/>
        <v>3550</v>
      </c>
      <c r="Z26" s="6">
        <f t="shared" si="6"/>
        <v>5625.1900000000005</v>
      </c>
      <c r="AA26" s="6">
        <f t="shared" si="6"/>
        <v>6870.13</v>
      </c>
      <c r="AB26" s="6">
        <f t="shared" si="6"/>
        <v>12392.2</v>
      </c>
      <c r="AC26" s="6">
        <f t="shared" si="6"/>
        <v>9522.3599999999988</v>
      </c>
      <c r="AD26" s="6">
        <f t="shared" si="6"/>
        <v>1550.0900000000001</v>
      </c>
      <c r="AE26" s="6">
        <f t="shared" si="6"/>
        <v>2546.9299999999998</v>
      </c>
      <c r="AF26" s="6">
        <f t="shared" si="6"/>
        <v>19348.64</v>
      </c>
      <c r="AG26" s="6">
        <f t="shared" si="6"/>
        <v>11447.04</v>
      </c>
      <c r="AH26" s="6">
        <f t="shared" ref="AH26:BM26" si="7">SUM(AH19:AH25)</f>
        <v>4372.08</v>
      </c>
      <c r="AI26" s="6">
        <f t="shared" si="7"/>
        <v>9649.2199999999993</v>
      </c>
      <c r="AJ26" s="6">
        <f t="shared" si="7"/>
        <v>5646.2199999999993</v>
      </c>
      <c r="AK26" s="6">
        <f t="shared" si="7"/>
        <v>5055.8600000000006</v>
      </c>
      <c r="AL26" s="6">
        <f t="shared" si="7"/>
        <v>1037.52</v>
      </c>
      <c r="AM26" s="6">
        <f t="shared" si="7"/>
        <v>11025.75</v>
      </c>
      <c r="AN26" s="6">
        <f t="shared" si="7"/>
        <v>16350.01</v>
      </c>
      <c r="AO26" s="6">
        <f t="shared" si="7"/>
        <v>15622.46</v>
      </c>
      <c r="AP26" s="6">
        <f t="shared" si="7"/>
        <v>8163.38</v>
      </c>
      <c r="AQ26" s="6">
        <f t="shared" si="7"/>
        <v>3850.2200000000003</v>
      </c>
      <c r="AR26" s="6">
        <f t="shared" si="7"/>
        <v>10759.37</v>
      </c>
      <c r="AS26" s="6">
        <f t="shared" si="7"/>
        <v>11287.72</v>
      </c>
      <c r="AT26" s="6">
        <f t="shared" si="7"/>
        <v>9365.869999999999</v>
      </c>
      <c r="AU26" s="6">
        <f t="shared" si="7"/>
        <v>1780.9599999999998</v>
      </c>
      <c r="AV26" s="6">
        <f t="shared" si="7"/>
        <v>6105.24</v>
      </c>
      <c r="AW26" s="6">
        <f t="shared" si="7"/>
        <v>33319.07</v>
      </c>
      <c r="AX26" s="6">
        <f t="shared" si="7"/>
        <v>9049.8100000000013</v>
      </c>
      <c r="AY26" s="6">
        <f t="shared" si="7"/>
        <v>26902.39</v>
      </c>
      <c r="AZ26" s="6">
        <f t="shared" si="7"/>
        <v>24310.89</v>
      </c>
      <c r="BA26" s="6">
        <f t="shared" si="7"/>
        <v>27507.040000000001</v>
      </c>
      <c r="BB26" s="6">
        <f t="shared" si="7"/>
        <v>33439.65</v>
      </c>
      <c r="BC26" s="6">
        <f t="shared" si="7"/>
        <v>29150.85</v>
      </c>
      <c r="BD26" s="6">
        <f t="shared" si="7"/>
        <v>30718.199999999997</v>
      </c>
      <c r="BE26" s="6">
        <f t="shared" si="7"/>
        <v>30562.51</v>
      </c>
      <c r="BF26" s="6">
        <f t="shared" si="7"/>
        <v>27070.54</v>
      </c>
      <c r="BG26" s="6">
        <f t="shared" si="7"/>
        <v>13104.449999999999</v>
      </c>
      <c r="BH26" s="6">
        <f t="shared" si="7"/>
        <v>24274.02</v>
      </c>
      <c r="BI26" s="6">
        <f t="shared" si="7"/>
        <v>2608.9899999999998</v>
      </c>
      <c r="BJ26" s="6">
        <f t="shared" si="7"/>
        <v>-2132.3900000000003</v>
      </c>
      <c r="BK26" s="6">
        <f t="shared" si="7"/>
        <v>14207.009999999998</v>
      </c>
      <c r="BL26" s="6">
        <f t="shared" si="7"/>
        <v>29275.1</v>
      </c>
      <c r="BM26" s="6">
        <f t="shared" si="7"/>
        <v>28983.039999999997</v>
      </c>
      <c r="BN26" s="6">
        <f t="shared" ref="BN26:CA26" si="8">SUM(BN19:BN25)</f>
        <v>33247.35</v>
      </c>
      <c r="BO26" s="6">
        <f t="shared" si="8"/>
        <v>25333.360000000001</v>
      </c>
      <c r="BP26" s="6">
        <f t="shared" si="8"/>
        <v>47471.69</v>
      </c>
      <c r="BQ26" s="6">
        <f t="shared" si="8"/>
        <v>28401.069999999996</v>
      </c>
      <c r="BR26" s="6">
        <f t="shared" si="8"/>
        <v>12902.550000000001</v>
      </c>
      <c r="BS26" s="6">
        <f t="shared" si="8"/>
        <v>6255.22</v>
      </c>
      <c r="BT26" s="6">
        <f t="shared" si="8"/>
        <v>34102.58</v>
      </c>
      <c r="BU26" s="6">
        <f t="shared" si="8"/>
        <v>12069.600000000002</v>
      </c>
      <c r="BV26" s="6">
        <f t="shared" si="8"/>
        <v>12308.65</v>
      </c>
      <c r="BW26" s="6">
        <f t="shared" si="8"/>
        <v>19557.580000000002</v>
      </c>
      <c r="BX26" s="6">
        <f t="shared" si="8"/>
        <v>15886.8</v>
      </c>
      <c r="BY26" s="6">
        <f t="shared" si="8"/>
        <v>10591.25</v>
      </c>
      <c r="BZ26" s="6">
        <f t="shared" si="8"/>
        <v>10312.08</v>
      </c>
      <c r="CA26" s="6">
        <f t="shared" si="8"/>
        <v>7212.5499999999993</v>
      </c>
    </row>
    <row r="27" spans="1:79" x14ac:dyDescent="0.3">
      <c r="A27" s="7" t="s">
        <v>104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</row>
    <row r="28" spans="1:79" x14ac:dyDescent="0.3">
      <c r="A28" s="9" t="s">
        <v>105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620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4844.21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870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2910.8</v>
      </c>
      <c r="AF28" s="10">
        <v>0</v>
      </c>
      <c r="AG28" s="10">
        <v>0</v>
      </c>
      <c r="AH28" s="10">
        <v>0</v>
      </c>
      <c r="AI28" s="10">
        <v>4220.16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-383.65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149316.54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550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41840.660000000003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23170.799999999999</v>
      </c>
      <c r="BZ28" s="10">
        <v>0</v>
      </c>
      <c r="CA28" s="10">
        <v>0</v>
      </c>
    </row>
    <row r="29" spans="1:79" x14ac:dyDescent="0.3">
      <c r="A29" s="9" t="s">
        <v>106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5449.95</v>
      </c>
      <c r="BB29" s="10">
        <v>7163.77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</row>
    <row r="30" spans="1:79" x14ac:dyDescent="0.3">
      <c r="A30" s="9" t="s">
        <v>107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277.06</v>
      </c>
      <c r="BC30" s="10">
        <v>886.52</v>
      </c>
      <c r="BD30" s="10">
        <v>181.82</v>
      </c>
      <c r="BE30" s="10">
        <v>258.82</v>
      </c>
      <c r="BF30" s="10">
        <v>181.82</v>
      </c>
      <c r="BG30" s="10">
        <v>0</v>
      </c>
      <c r="BH30" s="10">
        <v>40</v>
      </c>
      <c r="BI30" s="10">
        <v>160</v>
      </c>
      <c r="BJ30" s="10">
        <v>868.19</v>
      </c>
      <c r="BK30" s="10">
        <v>169.4</v>
      </c>
      <c r="BL30" s="10">
        <v>255</v>
      </c>
      <c r="BM30" s="10">
        <v>143.82</v>
      </c>
      <c r="BN30" s="10">
        <v>0</v>
      </c>
      <c r="BO30" s="10">
        <v>84.7</v>
      </c>
      <c r="BP30" s="10">
        <v>0</v>
      </c>
      <c r="BQ30" s="10">
        <v>41.25</v>
      </c>
      <c r="BR30" s="10">
        <v>0</v>
      </c>
      <c r="BS30" s="10">
        <v>0</v>
      </c>
      <c r="BT30" s="10">
        <v>0</v>
      </c>
      <c r="BU30" s="10">
        <v>66</v>
      </c>
      <c r="BV30" s="10">
        <v>0</v>
      </c>
      <c r="BW30" s="10">
        <v>41.25</v>
      </c>
      <c r="BX30" s="10">
        <v>0</v>
      </c>
      <c r="BY30" s="10">
        <v>0</v>
      </c>
      <c r="BZ30" s="10">
        <v>0</v>
      </c>
      <c r="CA30" s="10">
        <v>0</v>
      </c>
    </row>
    <row r="31" spans="1:79" x14ac:dyDescent="0.3">
      <c r="A31" s="11" t="s">
        <v>108</v>
      </c>
      <c r="B31" s="6">
        <f t="shared" ref="B31:AG31" si="9">SUM(B28:B30)</f>
        <v>0</v>
      </c>
      <c r="C31" s="6">
        <f t="shared" si="9"/>
        <v>0</v>
      </c>
      <c r="D31" s="6">
        <f t="shared" si="9"/>
        <v>0</v>
      </c>
      <c r="E31" s="6">
        <f t="shared" si="9"/>
        <v>0</v>
      </c>
      <c r="F31" s="6">
        <f t="shared" si="9"/>
        <v>0</v>
      </c>
      <c r="G31" s="6">
        <f t="shared" si="9"/>
        <v>0</v>
      </c>
      <c r="H31" s="6">
        <f t="shared" si="9"/>
        <v>620</v>
      </c>
      <c r="I31" s="6">
        <f t="shared" si="9"/>
        <v>0</v>
      </c>
      <c r="J31" s="6">
        <f t="shared" si="9"/>
        <v>0</v>
      </c>
      <c r="K31" s="6">
        <f t="shared" si="9"/>
        <v>0</v>
      </c>
      <c r="L31" s="6">
        <f t="shared" si="9"/>
        <v>0</v>
      </c>
      <c r="M31" s="6">
        <f t="shared" si="9"/>
        <v>0</v>
      </c>
      <c r="N31" s="6">
        <f t="shared" si="9"/>
        <v>0</v>
      </c>
      <c r="O31" s="6">
        <f t="shared" si="9"/>
        <v>0</v>
      </c>
      <c r="P31" s="6">
        <f t="shared" si="9"/>
        <v>4844.21</v>
      </c>
      <c r="Q31" s="6">
        <f t="shared" si="9"/>
        <v>0</v>
      </c>
      <c r="R31" s="6">
        <f t="shared" si="9"/>
        <v>0</v>
      </c>
      <c r="S31" s="6">
        <f t="shared" si="9"/>
        <v>0</v>
      </c>
      <c r="T31" s="6">
        <f t="shared" si="9"/>
        <v>0</v>
      </c>
      <c r="U31" s="6">
        <f t="shared" si="9"/>
        <v>0</v>
      </c>
      <c r="V31" s="6">
        <f t="shared" si="9"/>
        <v>0</v>
      </c>
      <c r="W31" s="6">
        <f t="shared" si="9"/>
        <v>0</v>
      </c>
      <c r="X31" s="6">
        <f t="shared" si="9"/>
        <v>0</v>
      </c>
      <c r="Y31" s="6">
        <f t="shared" si="9"/>
        <v>870</v>
      </c>
      <c r="Z31" s="6">
        <f t="shared" si="9"/>
        <v>0</v>
      </c>
      <c r="AA31" s="6">
        <f t="shared" si="9"/>
        <v>0</v>
      </c>
      <c r="AB31" s="6">
        <f t="shared" si="9"/>
        <v>0</v>
      </c>
      <c r="AC31" s="6">
        <f t="shared" si="9"/>
        <v>0</v>
      </c>
      <c r="AD31" s="6">
        <f t="shared" si="9"/>
        <v>0</v>
      </c>
      <c r="AE31" s="6">
        <f t="shared" si="9"/>
        <v>2910.8</v>
      </c>
      <c r="AF31" s="6">
        <f t="shared" si="9"/>
        <v>0</v>
      </c>
      <c r="AG31" s="6">
        <f t="shared" si="9"/>
        <v>0</v>
      </c>
      <c r="AH31" s="6">
        <f t="shared" ref="AH31:BM31" si="10">SUM(AH28:AH30)</f>
        <v>0</v>
      </c>
      <c r="AI31" s="6">
        <f t="shared" si="10"/>
        <v>4220.16</v>
      </c>
      <c r="AJ31" s="6">
        <f t="shared" si="10"/>
        <v>0</v>
      </c>
      <c r="AK31" s="6">
        <f t="shared" si="10"/>
        <v>0</v>
      </c>
      <c r="AL31" s="6">
        <f t="shared" si="10"/>
        <v>0</v>
      </c>
      <c r="AM31" s="6">
        <f t="shared" si="10"/>
        <v>0</v>
      </c>
      <c r="AN31" s="6">
        <f t="shared" si="10"/>
        <v>0</v>
      </c>
      <c r="AO31" s="6">
        <f t="shared" si="10"/>
        <v>0</v>
      </c>
      <c r="AP31" s="6">
        <f t="shared" si="10"/>
        <v>0</v>
      </c>
      <c r="AQ31" s="6">
        <f t="shared" si="10"/>
        <v>0</v>
      </c>
      <c r="AR31" s="6">
        <f t="shared" si="10"/>
        <v>-383.65</v>
      </c>
      <c r="AS31" s="6">
        <f t="shared" si="10"/>
        <v>0</v>
      </c>
      <c r="AT31" s="6">
        <f t="shared" si="10"/>
        <v>0</v>
      </c>
      <c r="AU31" s="6">
        <f t="shared" si="10"/>
        <v>0</v>
      </c>
      <c r="AV31" s="6">
        <f t="shared" si="10"/>
        <v>0</v>
      </c>
      <c r="AW31" s="6">
        <f t="shared" si="10"/>
        <v>0</v>
      </c>
      <c r="AX31" s="6">
        <f t="shared" si="10"/>
        <v>0</v>
      </c>
      <c r="AY31" s="6">
        <f t="shared" si="10"/>
        <v>0</v>
      </c>
      <c r="AZ31" s="6">
        <f t="shared" si="10"/>
        <v>0</v>
      </c>
      <c r="BA31" s="6">
        <f t="shared" si="10"/>
        <v>5449.95</v>
      </c>
      <c r="BB31" s="6">
        <f t="shared" si="10"/>
        <v>7440.8300000000008</v>
      </c>
      <c r="BC31" s="6">
        <f t="shared" si="10"/>
        <v>150203.06</v>
      </c>
      <c r="BD31" s="6">
        <f t="shared" si="10"/>
        <v>181.82</v>
      </c>
      <c r="BE31" s="6">
        <f t="shared" si="10"/>
        <v>258.82</v>
      </c>
      <c r="BF31" s="6">
        <f t="shared" si="10"/>
        <v>181.82</v>
      </c>
      <c r="BG31" s="6">
        <f t="shared" si="10"/>
        <v>0</v>
      </c>
      <c r="BH31" s="6">
        <f t="shared" si="10"/>
        <v>40</v>
      </c>
      <c r="BI31" s="6">
        <f t="shared" si="10"/>
        <v>710</v>
      </c>
      <c r="BJ31" s="6">
        <f t="shared" si="10"/>
        <v>868.19</v>
      </c>
      <c r="BK31" s="6">
        <f t="shared" si="10"/>
        <v>169.4</v>
      </c>
      <c r="BL31" s="6">
        <f t="shared" si="10"/>
        <v>255</v>
      </c>
      <c r="BM31" s="6">
        <f t="shared" si="10"/>
        <v>143.82</v>
      </c>
      <c r="BN31" s="6">
        <f t="shared" ref="BN31:CA31" si="11">SUM(BN28:BN30)</f>
        <v>0</v>
      </c>
      <c r="BO31" s="6">
        <f t="shared" si="11"/>
        <v>41925.360000000001</v>
      </c>
      <c r="BP31" s="6">
        <f t="shared" si="11"/>
        <v>0</v>
      </c>
      <c r="BQ31" s="6">
        <f t="shared" si="11"/>
        <v>41.25</v>
      </c>
      <c r="BR31" s="6">
        <f t="shared" si="11"/>
        <v>0</v>
      </c>
      <c r="BS31" s="6">
        <f t="shared" si="11"/>
        <v>0</v>
      </c>
      <c r="BT31" s="6">
        <f t="shared" si="11"/>
        <v>0</v>
      </c>
      <c r="BU31" s="6">
        <f t="shared" si="11"/>
        <v>66</v>
      </c>
      <c r="BV31" s="6">
        <f t="shared" si="11"/>
        <v>0</v>
      </c>
      <c r="BW31" s="6">
        <f t="shared" si="11"/>
        <v>41.25</v>
      </c>
      <c r="BX31" s="6">
        <f t="shared" si="11"/>
        <v>0</v>
      </c>
      <c r="BY31" s="6">
        <f t="shared" si="11"/>
        <v>23170.799999999999</v>
      </c>
      <c r="BZ31" s="6">
        <f t="shared" si="11"/>
        <v>0</v>
      </c>
      <c r="CA31" s="6">
        <f t="shared" si="11"/>
        <v>0</v>
      </c>
    </row>
    <row r="32" spans="1:79" x14ac:dyDescent="0.3">
      <c r="A32" s="12" t="s">
        <v>109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25016</v>
      </c>
      <c r="BG32" s="10">
        <v>6067.31</v>
      </c>
      <c r="BH32" s="10">
        <v>9569.18</v>
      </c>
      <c r="BI32" s="10">
        <v>16550.32</v>
      </c>
      <c r="BJ32" s="10">
        <v>7266.59</v>
      </c>
      <c r="BK32" s="10">
        <v>1907.6</v>
      </c>
      <c r="BL32" s="10">
        <v>2171.71</v>
      </c>
      <c r="BM32" s="10">
        <v>483.46</v>
      </c>
      <c r="BN32" s="10">
        <v>198</v>
      </c>
      <c r="BO32" s="10">
        <v>198</v>
      </c>
      <c r="BP32" s="10">
        <v>198</v>
      </c>
      <c r="BQ32" s="10">
        <v>0</v>
      </c>
      <c r="BR32" s="10">
        <v>198</v>
      </c>
      <c r="BS32" s="10">
        <v>198</v>
      </c>
      <c r="BT32" s="10">
        <v>198</v>
      </c>
      <c r="BU32" s="10">
        <v>198</v>
      </c>
      <c r="BV32" s="10">
        <v>198</v>
      </c>
      <c r="BW32" s="10">
        <v>198</v>
      </c>
      <c r="BX32" s="10">
        <v>198</v>
      </c>
      <c r="BY32" s="10">
        <v>198</v>
      </c>
      <c r="BZ32" s="10">
        <v>198</v>
      </c>
      <c r="CA32" s="10">
        <v>198</v>
      </c>
    </row>
    <row r="33" spans="1:79" x14ac:dyDescent="0.3">
      <c r="A33" s="5" t="s">
        <v>110</v>
      </c>
      <c r="B33" s="6">
        <f t="shared" ref="B33:AG33" si="12">SUM(B17,B26,B31:B32)</f>
        <v>-3828.4799999999996</v>
      </c>
      <c r="C33" s="6">
        <f t="shared" si="12"/>
        <v>18024.489999999998</v>
      </c>
      <c r="D33" s="6">
        <f t="shared" si="12"/>
        <v>16803.370000000003</v>
      </c>
      <c r="E33" s="6">
        <f t="shared" si="12"/>
        <v>32827.789999999994</v>
      </c>
      <c r="F33" s="6">
        <f t="shared" si="12"/>
        <v>29083.780000000002</v>
      </c>
      <c r="G33" s="6">
        <f t="shared" si="12"/>
        <v>64615.82</v>
      </c>
      <c r="H33" s="6">
        <f t="shared" si="12"/>
        <v>20779.05</v>
      </c>
      <c r="I33" s="6">
        <f t="shared" si="12"/>
        <v>12347.04</v>
      </c>
      <c r="J33" s="6">
        <f t="shared" si="12"/>
        <v>27037.94</v>
      </c>
      <c r="K33" s="6">
        <f t="shared" si="12"/>
        <v>23500.54</v>
      </c>
      <c r="L33" s="6">
        <f t="shared" si="12"/>
        <v>18351.879999999997</v>
      </c>
      <c r="M33" s="6">
        <f t="shared" si="12"/>
        <v>22594.93</v>
      </c>
      <c r="N33" s="6">
        <f t="shared" si="12"/>
        <v>20286.89</v>
      </c>
      <c r="O33" s="6">
        <f t="shared" si="12"/>
        <v>20946.55</v>
      </c>
      <c r="P33" s="6">
        <f t="shared" si="12"/>
        <v>29087.589999999997</v>
      </c>
      <c r="Q33" s="6">
        <f t="shared" si="12"/>
        <v>47350.87</v>
      </c>
      <c r="R33" s="6">
        <f t="shared" si="12"/>
        <v>16771.900000000001</v>
      </c>
      <c r="S33" s="6">
        <f t="shared" si="12"/>
        <v>26355.63</v>
      </c>
      <c r="T33" s="6">
        <f t="shared" si="12"/>
        <v>16548.309999999998</v>
      </c>
      <c r="U33" s="6">
        <f t="shared" si="12"/>
        <v>19167.559999999998</v>
      </c>
      <c r="V33" s="6">
        <f t="shared" si="12"/>
        <v>24890.649999999998</v>
      </c>
      <c r="W33" s="6">
        <f t="shared" si="12"/>
        <v>15693.42</v>
      </c>
      <c r="X33" s="6">
        <f t="shared" si="12"/>
        <v>13431.9</v>
      </c>
      <c r="Y33" s="6">
        <f t="shared" si="12"/>
        <v>20893.84</v>
      </c>
      <c r="Z33" s="6">
        <f t="shared" si="12"/>
        <v>25156.690000000002</v>
      </c>
      <c r="AA33" s="6">
        <f t="shared" si="12"/>
        <v>21564.240000000002</v>
      </c>
      <c r="AB33" s="6">
        <f t="shared" si="12"/>
        <v>47217.479999999996</v>
      </c>
      <c r="AC33" s="6">
        <f t="shared" si="12"/>
        <v>83657.36</v>
      </c>
      <c r="AD33" s="6">
        <f t="shared" si="12"/>
        <v>41090.11</v>
      </c>
      <c r="AE33" s="6">
        <f t="shared" si="12"/>
        <v>65862.429999999993</v>
      </c>
      <c r="AF33" s="6">
        <f t="shared" si="12"/>
        <v>53790.400000000001</v>
      </c>
      <c r="AG33" s="6">
        <f t="shared" si="12"/>
        <v>48956.950000000004</v>
      </c>
      <c r="AH33" s="6">
        <f t="shared" ref="AH33:BM33" si="13">SUM(AH17,AH26,AH31:AH32)</f>
        <v>15353.78</v>
      </c>
      <c r="AI33" s="6">
        <f t="shared" si="13"/>
        <v>44563.149999999994</v>
      </c>
      <c r="AJ33" s="6">
        <f t="shared" si="13"/>
        <v>49313.86</v>
      </c>
      <c r="AK33" s="6">
        <f t="shared" si="13"/>
        <v>32931.979999999996</v>
      </c>
      <c r="AL33" s="6">
        <f t="shared" si="13"/>
        <v>27213.7</v>
      </c>
      <c r="AM33" s="6">
        <f t="shared" si="13"/>
        <v>96328.23</v>
      </c>
      <c r="AN33" s="6">
        <f t="shared" si="13"/>
        <v>61129.19</v>
      </c>
      <c r="AO33" s="6">
        <f t="shared" si="13"/>
        <v>75237.89</v>
      </c>
      <c r="AP33" s="6">
        <f t="shared" si="13"/>
        <v>46344.659999999996</v>
      </c>
      <c r="AQ33" s="6">
        <f t="shared" si="13"/>
        <v>37198.700000000004</v>
      </c>
      <c r="AR33" s="6">
        <f t="shared" si="13"/>
        <v>44551.17</v>
      </c>
      <c r="AS33" s="6">
        <f t="shared" si="13"/>
        <v>48275.24</v>
      </c>
      <c r="AT33" s="6">
        <f t="shared" si="13"/>
        <v>30433.539999999997</v>
      </c>
      <c r="AU33" s="6">
        <f t="shared" si="13"/>
        <v>26814.1</v>
      </c>
      <c r="AV33" s="6">
        <f t="shared" si="13"/>
        <v>33743.18</v>
      </c>
      <c r="AW33" s="6">
        <f t="shared" si="13"/>
        <v>54919</v>
      </c>
      <c r="AX33" s="6">
        <f t="shared" si="13"/>
        <v>27857.32</v>
      </c>
      <c r="AY33" s="6">
        <f t="shared" si="13"/>
        <v>99782.14</v>
      </c>
      <c r="AZ33" s="6">
        <f t="shared" si="13"/>
        <v>57255.74</v>
      </c>
      <c r="BA33" s="6">
        <f t="shared" si="13"/>
        <v>75359.34</v>
      </c>
      <c r="BB33" s="6">
        <f t="shared" si="13"/>
        <v>92904.2</v>
      </c>
      <c r="BC33" s="6">
        <f t="shared" si="13"/>
        <v>247793.06</v>
      </c>
      <c r="BD33" s="6">
        <f t="shared" si="13"/>
        <v>82330.55</v>
      </c>
      <c r="BE33" s="6">
        <f t="shared" si="13"/>
        <v>85624.790000000008</v>
      </c>
      <c r="BF33" s="6">
        <f t="shared" si="13"/>
        <v>165223.85</v>
      </c>
      <c r="BG33" s="6">
        <f t="shared" si="13"/>
        <v>83875.490000000005</v>
      </c>
      <c r="BH33" s="6">
        <f t="shared" si="13"/>
        <v>92028.4</v>
      </c>
      <c r="BI33" s="6">
        <f t="shared" si="13"/>
        <v>48979.35</v>
      </c>
      <c r="BJ33" s="6">
        <f t="shared" si="13"/>
        <v>27092.3</v>
      </c>
      <c r="BK33" s="6">
        <f t="shared" si="13"/>
        <v>70222.649999999994</v>
      </c>
      <c r="BL33" s="6">
        <f t="shared" si="13"/>
        <v>68871.460000000006</v>
      </c>
      <c r="BM33" s="6">
        <f t="shared" si="13"/>
        <v>54706.679999999993</v>
      </c>
      <c r="BN33" s="6">
        <f t="shared" ref="BN33:CA33" si="14">SUM(BN17,BN26,BN31:BN32)</f>
        <v>85360.290000000008</v>
      </c>
      <c r="BO33" s="6">
        <f t="shared" si="14"/>
        <v>89643.06</v>
      </c>
      <c r="BP33" s="6">
        <f t="shared" si="14"/>
        <v>78090.03</v>
      </c>
      <c r="BQ33" s="6">
        <f t="shared" si="14"/>
        <v>65304.76999999999</v>
      </c>
      <c r="BR33" s="6">
        <f t="shared" si="14"/>
        <v>69139.12</v>
      </c>
      <c r="BS33" s="6">
        <f t="shared" si="14"/>
        <v>52660.770000000004</v>
      </c>
      <c r="BT33" s="6">
        <f t="shared" si="14"/>
        <v>70459.62</v>
      </c>
      <c r="BU33" s="6">
        <f t="shared" si="14"/>
        <v>42622.36</v>
      </c>
      <c r="BV33" s="6">
        <f t="shared" si="14"/>
        <v>32133.5</v>
      </c>
      <c r="BW33" s="6">
        <f t="shared" si="14"/>
        <v>78004.55</v>
      </c>
      <c r="BX33" s="6">
        <f t="shared" si="14"/>
        <v>35463.649999999994</v>
      </c>
      <c r="BY33" s="6">
        <f t="shared" si="14"/>
        <v>62309.850000000006</v>
      </c>
      <c r="BZ33" s="6">
        <f t="shared" si="14"/>
        <v>31755.18</v>
      </c>
      <c r="CA33" s="6">
        <f t="shared" si="14"/>
        <v>29878.639999999999</v>
      </c>
    </row>
    <row r="34" spans="1:79" x14ac:dyDescent="0.3">
      <c r="A34" s="5" t="s">
        <v>111</v>
      </c>
      <c r="B34" s="6">
        <f t="shared" ref="B34:AG34" si="15">B11-B33</f>
        <v>75920.37</v>
      </c>
      <c r="C34" s="6">
        <f t="shared" si="15"/>
        <v>35438.590000000004</v>
      </c>
      <c r="D34" s="6">
        <f t="shared" si="15"/>
        <v>16124.669999999998</v>
      </c>
      <c r="E34" s="6">
        <f t="shared" si="15"/>
        <v>41599.150000000009</v>
      </c>
      <c r="F34" s="6">
        <f t="shared" si="15"/>
        <v>22767.919999999995</v>
      </c>
      <c r="G34" s="6">
        <f t="shared" si="15"/>
        <v>18089.719999999994</v>
      </c>
      <c r="H34" s="6">
        <f t="shared" si="15"/>
        <v>86424.239999999991</v>
      </c>
      <c r="I34" s="6">
        <f t="shared" si="15"/>
        <v>108369.29999999999</v>
      </c>
      <c r="J34" s="6">
        <f t="shared" si="15"/>
        <v>24793.48</v>
      </c>
      <c r="K34" s="6">
        <f t="shared" si="15"/>
        <v>25794.080000000002</v>
      </c>
      <c r="L34" s="6">
        <f t="shared" si="15"/>
        <v>92904.93</v>
      </c>
      <c r="M34" s="6">
        <f t="shared" si="15"/>
        <v>40231.769999999997</v>
      </c>
      <c r="N34" s="6">
        <f t="shared" si="15"/>
        <v>6571.6399999999994</v>
      </c>
      <c r="O34" s="6">
        <f t="shared" si="15"/>
        <v>81206.53</v>
      </c>
      <c r="P34" s="6">
        <f t="shared" si="15"/>
        <v>102832.53</v>
      </c>
      <c r="Q34" s="6">
        <f t="shared" si="15"/>
        <v>-5221.0800000000017</v>
      </c>
      <c r="R34" s="6">
        <f t="shared" si="15"/>
        <v>67993.25</v>
      </c>
      <c r="S34" s="6">
        <f t="shared" si="15"/>
        <v>41409.259999999995</v>
      </c>
      <c r="T34" s="6">
        <f t="shared" si="15"/>
        <v>25021.4</v>
      </c>
      <c r="U34" s="6">
        <f t="shared" si="15"/>
        <v>90145.84</v>
      </c>
      <c r="V34" s="6">
        <f t="shared" si="15"/>
        <v>16012.240000000002</v>
      </c>
      <c r="W34" s="6">
        <f t="shared" si="15"/>
        <v>14275.859999999999</v>
      </c>
      <c r="X34" s="6">
        <f t="shared" si="15"/>
        <v>32302.339999999997</v>
      </c>
      <c r="Y34" s="6">
        <f t="shared" si="15"/>
        <v>121716.53</v>
      </c>
      <c r="Z34" s="6">
        <f t="shared" si="15"/>
        <v>1057.6499999999978</v>
      </c>
      <c r="AA34" s="6">
        <f t="shared" si="15"/>
        <v>40805.440000000002</v>
      </c>
      <c r="AB34" s="6">
        <f t="shared" si="15"/>
        <v>71817.98000000001</v>
      </c>
      <c r="AC34" s="6">
        <f t="shared" si="15"/>
        <v>6160.5500000000029</v>
      </c>
      <c r="AD34" s="6">
        <f t="shared" si="15"/>
        <v>75874.42</v>
      </c>
      <c r="AE34" s="6">
        <f t="shared" si="15"/>
        <v>115609.42000000001</v>
      </c>
      <c r="AF34" s="6">
        <f t="shared" si="15"/>
        <v>90470.959999999992</v>
      </c>
      <c r="AG34" s="6">
        <f t="shared" si="15"/>
        <v>78906.62</v>
      </c>
      <c r="AH34" s="6">
        <f t="shared" ref="AH34:BM34" si="16">AH11-AH33</f>
        <v>83014.2</v>
      </c>
      <c r="AI34" s="6">
        <f t="shared" si="16"/>
        <v>17265.050000000003</v>
      </c>
      <c r="AJ34" s="6">
        <f t="shared" si="16"/>
        <v>69807.89</v>
      </c>
      <c r="AK34" s="6">
        <f t="shared" si="16"/>
        <v>108543.12999999999</v>
      </c>
      <c r="AL34" s="6">
        <f t="shared" si="16"/>
        <v>81148.62</v>
      </c>
      <c r="AM34" s="6">
        <f t="shared" si="16"/>
        <v>56868.280000000013</v>
      </c>
      <c r="AN34" s="6">
        <f t="shared" si="16"/>
        <v>63179.72</v>
      </c>
      <c r="AO34" s="6">
        <f t="shared" si="16"/>
        <v>28455.510000000009</v>
      </c>
      <c r="AP34" s="6">
        <f t="shared" si="16"/>
        <v>184166.91</v>
      </c>
      <c r="AQ34" s="6">
        <f t="shared" si="16"/>
        <v>96187.209999999992</v>
      </c>
      <c r="AR34" s="6">
        <f t="shared" si="16"/>
        <v>18278.230000000003</v>
      </c>
      <c r="AS34" s="6">
        <f t="shared" si="16"/>
        <v>114866.37</v>
      </c>
      <c r="AT34" s="6">
        <f t="shared" si="16"/>
        <v>96109.23000000001</v>
      </c>
      <c r="AU34" s="6">
        <f t="shared" si="16"/>
        <v>115771.97</v>
      </c>
      <c r="AV34" s="6">
        <f t="shared" si="16"/>
        <v>102684.87000000002</v>
      </c>
      <c r="AW34" s="6">
        <f t="shared" si="16"/>
        <v>139183.24000000002</v>
      </c>
      <c r="AX34" s="6">
        <f t="shared" si="16"/>
        <v>172575.76</v>
      </c>
      <c r="AY34" s="6">
        <f t="shared" si="16"/>
        <v>134012.34999999998</v>
      </c>
      <c r="AZ34" s="6">
        <f t="shared" si="16"/>
        <v>55805.170000000006</v>
      </c>
      <c r="BA34" s="6">
        <f t="shared" si="16"/>
        <v>309781.05000000005</v>
      </c>
      <c r="BB34" s="6">
        <f t="shared" si="16"/>
        <v>48168.849999999991</v>
      </c>
      <c r="BC34" s="6">
        <f t="shared" si="16"/>
        <v>191597.94</v>
      </c>
      <c r="BD34" s="6">
        <f t="shared" si="16"/>
        <v>189465.47000000003</v>
      </c>
      <c r="BE34" s="6">
        <f t="shared" si="16"/>
        <v>136915.87</v>
      </c>
      <c r="BF34" s="6">
        <f t="shared" si="16"/>
        <v>46332.09</v>
      </c>
      <c r="BG34" s="6">
        <f t="shared" si="16"/>
        <v>189292.25</v>
      </c>
      <c r="BH34" s="6">
        <f t="shared" si="16"/>
        <v>81059.070000000007</v>
      </c>
      <c r="BI34" s="6">
        <f t="shared" si="16"/>
        <v>125017.81</v>
      </c>
      <c r="BJ34" s="6">
        <f t="shared" si="16"/>
        <v>16642.329999999998</v>
      </c>
      <c r="BK34" s="6">
        <f t="shared" si="16"/>
        <v>72006.820000000007</v>
      </c>
      <c r="BL34" s="6">
        <f t="shared" si="16"/>
        <v>172387.49</v>
      </c>
      <c r="BM34" s="6">
        <f t="shared" si="16"/>
        <v>31260.630000000005</v>
      </c>
      <c r="BN34" s="6">
        <f t="shared" ref="BN34:CA34" si="17">BN11-BN33</f>
        <v>111732.28</v>
      </c>
      <c r="BO34" s="6">
        <f t="shared" si="17"/>
        <v>123175.23000000001</v>
      </c>
      <c r="BP34" s="6">
        <f t="shared" si="17"/>
        <v>44853.919999999998</v>
      </c>
      <c r="BQ34" s="6">
        <f t="shared" si="17"/>
        <v>92970.38</v>
      </c>
      <c r="BR34" s="6">
        <f t="shared" si="17"/>
        <v>86947.790000000008</v>
      </c>
      <c r="BS34" s="6">
        <f t="shared" si="17"/>
        <v>159497.83000000002</v>
      </c>
      <c r="BT34" s="6">
        <f t="shared" si="17"/>
        <v>90087.520000000019</v>
      </c>
      <c r="BU34" s="6">
        <f t="shared" si="17"/>
        <v>142061.41999999998</v>
      </c>
      <c r="BV34" s="6">
        <f t="shared" si="17"/>
        <v>186860.93</v>
      </c>
      <c r="BW34" s="6">
        <f t="shared" si="17"/>
        <v>53318.960000000006</v>
      </c>
      <c r="BX34" s="6">
        <f t="shared" si="17"/>
        <v>197833.31</v>
      </c>
      <c r="BY34" s="6">
        <f t="shared" si="17"/>
        <v>91319</v>
      </c>
      <c r="BZ34" s="6">
        <f t="shared" si="17"/>
        <v>126341.84</v>
      </c>
      <c r="CA34" s="6">
        <f t="shared" si="17"/>
        <v>171957.34999999998</v>
      </c>
    </row>
    <row r="35" spans="1:79" x14ac:dyDescent="0.3">
      <c r="A35" s="5" t="s">
        <v>112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</row>
    <row r="36" spans="1:79" x14ac:dyDescent="0.3">
      <c r="A36" s="7" t="s">
        <v>113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</row>
    <row r="37" spans="1:79" x14ac:dyDescent="0.3">
      <c r="A37" s="9" t="s">
        <v>114</v>
      </c>
      <c r="B37" s="10">
        <v>663.12</v>
      </c>
      <c r="C37" s="10">
        <v>1826.27</v>
      </c>
      <c r="D37" s="10">
        <v>227.27</v>
      </c>
      <c r="E37" s="10">
        <v>585.36</v>
      </c>
      <c r="F37" s="10">
        <v>425.27</v>
      </c>
      <c r="G37" s="10">
        <v>1918.27</v>
      </c>
      <c r="H37" s="10">
        <v>326.27</v>
      </c>
      <c r="I37" s="10">
        <v>429.91</v>
      </c>
      <c r="J37" s="10">
        <v>-1067.73</v>
      </c>
      <c r="K37" s="10">
        <v>4729.82</v>
      </c>
      <c r="L37" s="10">
        <v>685.59</v>
      </c>
      <c r="M37" s="10">
        <v>326.27</v>
      </c>
      <c r="N37" s="10">
        <v>1621.27</v>
      </c>
      <c r="O37" s="10">
        <v>780.82</v>
      </c>
      <c r="P37" s="10">
        <v>326.27</v>
      </c>
      <c r="Q37" s="10">
        <v>227.27</v>
      </c>
      <c r="R37" s="10">
        <v>109.09</v>
      </c>
      <c r="S37" s="10">
        <v>744.95</v>
      </c>
      <c r="T37" s="10">
        <v>460</v>
      </c>
      <c r="U37" s="10">
        <v>0</v>
      </c>
      <c r="V37" s="10">
        <v>650</v>
      </c>
      <c r="W37" s="10">
        <v>894.7</v>
      </c>
      <c r="X37" s="10">
        <v>1736.62</v>
      </c>
      <c r="Y37" s="10">
        <v>-614.09</v>
      </c>
      <c r="Z37" s="10">
        <v>1285.6600000000001</v>
      </c>
      <c r="AA37" s="10">
        <v>33.6</v>
      </c>
      <c r="AB37" s="10">
        <v>0</v>
      </c>
      <c r="AC37" s="10">
        <v>179.5</v>
      </c>
      <c r="AD37" s="10">
        <v>109.09</v>
      </c>
      <c r="AE37" s="10">
        <v>0</v>
      </c>
      <c r="AF37" s="10">
        <v>99</v>
      </c>
      <c r="AG37" s="10">
        <v>949</v>
      </c>
      <c r="AH37" s="10">
        <v>99</v>
      </c>
      <c r="AI37" s="10">
        <v>932.68</v>
      </c>
      <c r="AJ37" s="10">
        <v>99</v>
      </c>
      <c r="AK37" s="10">
        <v>99</v>
      </c>
      <c r="AL37" s="10">
        <v>99</v>
      </c>
      <c r="AM37" s="10">
        <v>0</v>
      </c>
      <c r="AN37" s="10">
        <v>0</v>
      </c>
      <c r="AO37" s="10">
        <v>0</v>
      </c>
      <c r="AP37" s="10">
        <v>995.45</v>
      </c>
      <c r="AQ37" s="10">
        <v>259.08999999999997</v>
      </c>
      <c r="AR37" s="10">
        <v>0</v>
      </c>
      <c r="AS37" s="10">
        <v>0</v>
      </c>
      <c r="AT37" s="10">
        <v>43.64</v>
      </c>
      <c r="AU37" s="10">
        <v>0</v>
      </c>
      <c r="AV37" s="10">
        <v>150</v>
      </c>
      <c r="AW37" s="10">
        <v>0</v>
      </c>
      <c r="AX37" s="10">
        <v>0</v>
      </c>
      <c r="AY37" s="10">
        <v>895</v>
      </c>
      <c r="AZ37" s="10">
        <v>0</v>
      </c>
      <c r="BA37" s="10">
        <v>167.27</v>
      </c>
      <c r="BB37" s="10">
        <v>1300.5999999999999</v>
      </c>
      <c r="BC37" s="10">
        <v>490</v>
      </c>
      <c r="BD37" s="10">
        <v>895</v>
      </c>
      <c r="BE37" s="10">
        <v>222.73</v>
      </c>
      <c r="BF37" s="10">
        <v>280.37</v>
      </c>
      <c r="BG37" s="10">
        <v>1392.91</v>
      </c>
      <c r="BH37" s="10">
        <v>428.31</v>
      </c>
      <c r="BI37" s="10">
        <v>885.01</v>
      </c>
      <c r="BJ37" s="10">
        <v>555.64</v>
      </c>
      <c r="BK37" s="10">
        <v>638.28</v>
      </c>
      <c r="BL37" s="10">
        <v>646.16999999999996</v>
      </c>
      <c r="BM37" s="10">
        <v>0</v>
      </c>
      <c r="BN37" s="10">
        <v>510.45</v>
      </c>
      <c r="BO37" s="10">
        <v>0</v>
      </c>
      <c r="BP37" s="10">
        <v>375</v>
      </c>
      <c r="BQ37" s="10">
        <v>61.82</v>
      </c>
      <c r="BR37" s="10">
        <v>742.5</v>
      </c>
      <c r="BS37" s="10">
        <v>0</v>
      </c>
      <c r="BT37" s="10">
        <v>730</v>
      </c>
      <c r="BU37" s="10">
        <v>0</v>
      </c>
      <c r="BV37" s="10">
        <v>0</v>
      </c>
      <c r="BW37" s="10">
        <v>1050</v>
      </c>
      <c r="BX37" s="10">
        <v>0</v>
      </c>
      <c r="BY37" s="10">
        <v>0</v>
      </c>
      <c r="BZ37" s="10">
        <v>0</v>
      </c>
      <c r="CA37" s="10">
        <v>0</v>
      </c>
    </row>
    <row r="38" spans="1:79" x14ac:dyDescent="0.3">
      <c r="A38" s="9" t="s">
        <v>115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1599</v>
      </c>
      <c r="AC38" s="10">
        <v>0</v>
      </c>
      <c r="AD38" s="10">
        <v>750</v>
      </c>
      <c r="AE38" s="10">
        <v>1500</v>
      </c>
      <c r="AF38" s="10">
        <v>750</v>
      </c>
      <c r="AG38" s="10">
        <v>750</v>
      </c>
      <c r="AH38" s="10">
        <v>750</v>
      </c>
      <c r="AI38" s="10">
        <v>750</v>
      </c>
      <c r="AJ38" s="10">
        <v>750</v>
      </c>
      <c r="AK38" s="10">
        <v>750</v>
      </c>
      <c r="AL38" s="10">
        <v>0</v>
      </c>
      <c r="AM38" s="10">
        <v>2250</v>
      </c>
      <c r="AN38" s="10">
        <v>750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625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1500</v>
      </c>
      <c r="BK38" s="10">
        <v>2200</v>
      </c>
      <c r="BL38" s="10">
        <v>2200</v>
      </c>
      <c r="BM38" s="10">
        <v>6000</v>
      </c>
      <c r="BN38" s="10">
        <v>1500</v>
      </c>
      <c r="BO38" s="10">
        <v>1500</v>
      </c>
      <c r="BP38" s="10">
        <v>1500</v>
      </c>
      <c r="BQ38" s="10">
        <v>1577.44</v>
      </c>
      <c r="BR38" s="10">
        <v>1500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</row>
    <row r="39" spans="1:79" x14ac:dyDescent="0.3">
      <c r="A39" s="9" t="s">
        <v>116</v>
      </c>
      <c r="B39" s="10">
        <v>47.98</v>
      </c>
      <c r="C39" s="10">
        <v>264</v>
      </c>
      <c r="D39" s="10">
        <v>94.98</v>
      </c>
      <c r="E39" s="10">
        <v>139.99</v>
      </c>
      <c r="F39" s="10">
        <v>100</v>
      </c>
      <c r="G39" s="10">
        <v>100</v>
      </c>
      <c r="H39" s="10">
        <v>224</v>
      </c>
      <c r="I39" s="10">
        <v>424.38</v>
      </c>
      <c r="J39" s="10">
        <v>11.95</v>
      </c>
      <c r="K39" s="10">
        <v>11.95</v>
      </c>
      <c r="L39" s="10">
        <v>682.73</v>
      </c>
      <c r="M39" s="10">
        <v>600.89</v>
      </c>
      <c r="N39" s="10">
        <v>106.65</v>
      </c>
      <c r="O39" s="10">
        <v>495.45</v>
      </c>
      <c r="P39" s="10">
        <v>0</v>
      </c>
      <c r="Q39" s="10">
        <v>99.36</v>
      </c>
      <c r="R39" s="10">
        <v>435.79</v>
      </c>
      <c r="S39" s="10">
        <v>271.8</v>
      </c>
      <c r="T39" s="10">
        <v>159.91</v>
      </c>
      <c r="U39" s="10">
        <v>401.39</v>
      </c>
      <c r="V39" s="10">
        <v>74.650000000000006</v>
      </c>
      <c r="W39" s="10">
        <v>112.91</v>
      </c>
      <c r="X39" s="10">
        <v>76.91</v>
      </c>
      <c r="Y39" s="10">
        <v>1232.52</v>
      </c>
      <c r="Z39" s="10">
        <v>11.95</v>
      </c>
      <c r="AA39" s="10">
        <v>191.62</v>
      </c>
      <c r="AB39" s="10">
        <v>597.83000000000004</v>
      </c>
      <c r="AC39" s="10">
        <v>58.48</v>
      </c>
      <c r="AD39" s="10">
        <v>117.92</v>
      </c>
      <c r="AE39" s="10">
        <v>232.64</v>
      </c>
      <c r="AF39" s="10">
        <v>97.45</v>
      </c>
      <c r="AG39" s="10">
        <v>533.54999999999995</v>
      </c>
      <c r="AH39" s="10">
        <v>290.69</v>
      </c>
      <c r="AI39" s="10">
        <v>70.5</v>
      </c>
      <c r="AJ39" s="10">
        <v>482.25</v>
      </c>
      <c r="AK39" s="10">
        <v>1563.49</v>
      </c>
      <c r="AL39" s="10">
        <v>35.770000000000003</v>
      </c>
      <c r="AM39" s="10">
        <v>4227.3999999999996</v>
      </c>
      <c r="AN39" s="10">
        <v>43</v>
      </c>
      <c r="AO39" s="10">
        <v>9</v>
      </c>
      <c r="AP39" s="10">
        <v>0</v>
      </c>
      <c r="AQ39" s="10">
        <v>180.43</v>
      </c>
      <c r="AR39" s="10">
        <v>348.91</v>
      </c>
      <c r="AS39" s="10">
        <v>17.2</v>
      </c>
      <c r="AT39" s="10">
        <v>284</v>
      </c>
      <c r="AU39" s="10">
        <v>0</v>
      </c>
      <c r="AV39" s="10">
        <v>37.58</v>
      </c>
      <c r="AW39" s="10">
        <v>1239.82</v>
      </c>
      <c r="AX39" s="10">
        <v>9</v>
      </c>
      <c r="AY39" s="10">
        <v>245.35</v>
      </c>
      <c r="AZ39" s="10">
        <v>0</v>
      </c>
      <c r="BA39" s="10">
        <v>40</v>
      </c>
      <c r="BB39" s="10">
        <v>50.99</v>
      </c>
      <c r="BC39" s="10">
        <v>289.10000000000002</v>
      </c>
      <c r="BD39" s="10">
        <v>0</v>
      </c>
      <c r="BE39" s="10">
        <v>0</v>
      </c>
      <c r="BF39" s="10">
        <v>199.44</v>
      </c>
      <c r="BG39" s="10">
        <v>1808.62</v>
      </c>
      <c r="BH39" s="10">
        <v>193.48</v>
      </c>
      <c r="BI39" s="10">
        <v>2587.5700000000002</v>
      </c>
      <c r="BJ39" s="10">
        <v>161.6</v>
      </c>
      <c r="BK39" s="10">
        <v>140</v>
      </c>
      <c r="BL39" s="10">
        <v>103.99</v>
      </c>
      <c r="BM39" s="10">
        <v>0</v>
      </c>
      <c r="BN39" s="10">
        <v>0</v>
      </c>
      <c r="BO39" s="10">
        <v>0</v>
      </c>
      <c r="BP39" s="10">
        <v>0</v>
      </c>
      <c r="BQ39" s="10">
        <v>61</v>
      </c>
      <c r="BR39" s="10">
        <v>0</v>
      </c>
      <c r="BS39" s="10">
        <v>216</v>
      </c>
      <c r="BT39" s="10">
        <v>1096.2</v>
      </c>
      <c r="BU39" s="10">
        <v>1789.98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</row>
    <row r="40" spans="1:79" x14ac:dyDescent="0.3">
      <c r="A40" s="9" t="s">
        <v>117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3480</v>
      </c>
      <c r="M40" s="10">
        <v>0</v>
      </c>
      <c r="N40" s="10">
        <v>2320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</row>
    <row r="41" spans="1:79" x14ac:dyDescent="0.3">
      <c r="A41" s="9" t="s">
        <v>118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150.68</v>
      </c>
      <c r="P41" s="10">
        <v>136.36000000000001</v>
      </c>
      <c r="Q41" s="10">
        <v>100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41.62</v>
      </c>
      <c r="AD41" s="10">
        <v>0</v>
      </c>
      <c r="AE41" s="10">
        <v>61.45</v>
      </c>
      <c r="AF41" s="10">
        <v>0</v>
      </c>
      <c r="AG41" s="10">
        <v>97.27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16.91</v>
      </c>
      <c r="AS41" s="10">
        <v>36</v>
      </c>
      <c r="AT41" s="10">
        <v>134.27000000000001</v>
      </c>
      <c r="AU41" s="10">
        <v>20.73</v>
      </c>
      <c r="AV41" s="10">
        <v>10.23</v>
      </c>
      <c r="AW41" s="10">
        <v>27.6</v>
      </c>
      <c r="AX41" s="10">
        <v>0</v>
      </c>
      <c r="AY41" s="10">
        <v>0</v>
      </c>
      <c r="AZ41" s="10">
        <v>0</v>
      </c>
      <c r="BA41" s="10">
        <v>73.239999999999995</v>
      </c>
      <c r="BB41" s="10">
        <v>360.67</v>
      </c>
      <c r="BC41" s="10">
        <v>170.9</v>
      </c>
      <c r="BD41" s="10">
        <v>231.71</v>
      </c>
      <c r="BE41" s="10">
        <v>75</v>
      </c>
      <c r="BF41" s="10">
        <v>39.340000000000003</v>
      </c>
      <c r="BG41" s="10">
        <v>0</v>
      </c>
      <c r="BH41" s="10">
        <v>105.09</v>
      </c>
      <c r="BI41" s="10">
        <v>55.54</v>
      </c>
      <c r="BJ41" s="10">
        <v>48.97</v>
      </c>
      <c r="BK41" s="10">
        <v>106.78</v>
      </c>
      <c r="BL41" s="10">
        <v>94.44</v>
      </c>
      <c r="BM41" s="10">
        <v>25.83</v>
      </c>
      <c r="BN41" s="10">
        <v>209.61</v>
      </c>
      <c r="BO41" s="10">
        <v>0</v>
      </c>
      <c r="BP41" s="10">
        <v>0</v>
      </c>
      <c r="BQ41" s="10">
        <v>63.64</v>
      </c>
      <c r="BR41" s="10">
        <v>213.73</v>
      </c>
      <c r="BS41" s="10">
        <v>9.61</v>
      </c>
      <c r="BT41" s="10">
        <v>37.17</v>
      </c>
      <c r="BU41" s="10">
        <v>35.39</v>
      </c>
      <c r="BV41" s="10">
        <v>5.8</v>
      </c>
      <c r="BW41" s="10">
        <v>44.03</v>
      </c>
      <c r="BX41" s="10">
        <v>63.43</v>
      </c>
      <c r="BY41" s="10">
        <v>50.1</v>
      </c>
      <c r="BZ41" s="10">
        <v>0</v>
      </c>
      <c r="CA41" s="10">
        <v>4.63</v>
      </c>
    </row>
    <row r="42" spans="1:79" x14ac:dyDescent="0.3">
      <c r="A42" s="11" t="s">
        <v>119</v>
      </c>
      <c r="B42" s="6">
        <f t="shared" ref="B42:AG42" si="18">SUM(B37:B41)</f>
        <v>711.1</v>
      </c>
      <c r="C42" s="6">
        <f t="shared" si="18"/>
        <v>2090.27</v>
      </c>
      <c r="D42" s="6">
        <f t="shared" si="18"/>
        <v>322.25</v>
      </c>
      <c r="E42" s="6">
        <f t="shared" si="18"/>
        <v>725.35</v>
      </c>
      <c r="F42" s="6">
        <f t="shared" si="18"/>
        <v>525.27</v>
      </c>
      <c r="G42" s="6">
        <f t="shared" si="18"/>
        <v>2018.27</v>
      </c>
      <c r="H42" s="6">
        <f t="shared" si="18"/>
        <v>550.27</v>
      </c>
      <c r="I42" s="6">
        <f t="shared" si="18"/>
        <v>854.29</v>
      </c>
      <c r="J42" s="6">
        <f t="shared" si="18"/>
        <v>-1055.78</v>
      </c>
      <c r="K42" s="6">
        <f t="shared" si="18"/>
        <v>4741.7699999999995</v>
      </c>
      <c r="L42" s="6">
        <f t="shared" si="18"/>
        <v>4848.32</v>
      </c>
      <c r="M42" s="6">
        <f t="shared" si="18"/>
        <v>927.16</v>
      </c>
      <c r="N42" s="6">
        <f t="shared" si="18"/>
        <v>4047.92</v>
      </c>
      <c r="O42" s="6">
        <f t="shared" si="18"/>
        <v>1426.95</v>
      </c>
      <c r="P42" s="6">
        <f t="shared" si="18"/>
        <v>462.63</v>
      </c>
      <c r="Q42" s="6">
        <f t="shared" si="18"/>
        <v>426.63</v>
      </c>
      <c r="R42" s="6">
        <f t="shared" si="18"/>
        <v>544.88</v>
      </c>
      <c r="S42" s="6">
        <f t="shared" si="18"/>
        <v>1016.75</v>
      </c>
      <c r="T42" s="6">
        <f t="shared" si="18"/>
        <v>619.91</v>
      </c>
      <c r="U42" s="6">
        <f t="shared" si="18"/>
        <v>401.39</v>
      </c>
      <c r="V42" s="6">
        <f t="shared" si="18"/>
        <v>724.65</v>
      </c>
      <c r="W42" s="6">
        <f t="shared" si="18"/>
        <v>1007.61</v>
      </c>
      <c r="X42" s="6">
        <f t="shared" si="18"/>
        <v>1813.53</v>
      </c>
      <c r="Y42" s="6">
        <f t="shared" si="18"/>
        <v>618.42999999999995</v>
      </c>
      <c r="Z42" s="6">
        <f t="shared" si="18"/>
        <v>1297.6100000000001</v>
      </c>
      <c r="AA42" s="6">
        <f t="shared" si="18"/>
        <v>225.22</v>
      </c>
      <c r="AB42" s="6">
        <f t="shared" si="18"/>
        <v>2196.83</v>
      </c>
      <c r="AC42" s="6">
        <f t="shared" si="18"/>
        <v>279.59999999999997</v>
      </c>
      <c r="AD42" s="6">
        <f t="shared" si="18"/>
        <v>977.01</v>
      </c>
      <c r="AE42" s="6">
        <f t="shared" si="18"/>
        <v>1794.09</v>
      </c>
      <c r="AF42" s="6">
        <f t="shared" si="18"/>
        <v>946.45</v>
      </c>
      <c r="AG42" s="6">
        <f t="shared" si="18"/>
        <v>2329.8200000000002</v>
      </c>
      <c r="AH42" s="6">
        <f t="shared" ref="AH42:BM42" si="19">SUM(AH37:AH41)</f>
        <v>1139.69</v>
      </c>
      <c r="AI42" s="6">
        <f t="shared" si="19"/>
        <v>1753.1799999999998</v>
      </c>
      <c r="AJ42" s="6">
        <f t="shared" si="19"/>
        <v>1331.25</v>
      </c>
      <c r="AK42" s="6">
        <f t="shared" si="19"/>
        <v>2412.4899999999998</v>
      </c>
      <c r="AL42" s="6">
        <f t="shared" si="19"/>
        <v>134.77000000000001</v>
      </c>
      <c r="AM42" s="6">
        <f t="shared" si="19"/>
        <v>6477.4</v>
      </c>
      <c r="AN42" s="6">
        <f t="shared" si="19"/>
        <v>793</v>
      </c>
      <c r="AO42" s="6">
        <f t="shared" si="19"/>
        <v>9</v>
      </c>
      <c r="AP42" s="6">
        <f t="shared" si="19"/>
        <v>995.45</v>
      </c>
      <c r="AQ42" s="6">
        <f t="shared" si="19"/>
        <v>439.52</v>
      </c>
      <c r="AR42" s="6">
        <f t="shared" si="19"/>
        <v>365.82000000000005</v>
      </c>
      <c r="AS42" s="6">
        <f t="shared" si="19"/>
        <v>53.2</v>
      </c>
      <c r="AT42" s="6">
        <f t="shared" si="19"/>
        <v>1086.9100000000001</v>
      </c>
      <c r="AU42" s="6">
        <f t="shared" si="19"/>
        <v>20.73</v>
      </c>
      <c r="AV42" s="6">
        <f t="shared" si="19"/>
        <v>197.80999999999997</v>
      </c>
      <c r="AW42" s="6">
        <f t="shared" si="19"/>
        <v>1267.4199999999998</v>
      </c>
      <c r="AX42" s="6">
        <f t="shared" si="19"/>
        <v>9</v>
      </c>
      <c r="AY42" s="6">
        <f t="shared" si="19"/>
        <v>1140.3499999999999</v>
      </c>
      <c r="AZ42" s="6">
        <f t="shared" si="19"/>
        <v>0</v>
      </c>
      <c r="BA42" s="6">
        <f t="shared" si="19"/>
        <v>280.51</v>
      </c>
      <c r="BB42" s="6">
        <f t="shared" si="19"/>
        <v>1712.26</v>
      </c>
      <c r="BC42" s="6">
        <f t="shared" si="19"/>
        <v>950</v>
      </c>
      <c r="BD42" s="6">
        <f t="shared" si="19"/>
        <v>1126.71</v>
      </c>
      <c r="BE42" s="6">
        <f t="shared" si="19"/>
        <v>297.73</v>
      </c>
      <c r="BF42" s="6">
        <f t="shared" si="19"/>
        <v>519.15</v>
      </c>
      <c r="BG42" s="6">
        <f t="shared" si="19"/>
        <v>3201.5299999999997</v>
      </c>
      <c r="BH42" s="6">
        <f t="shared" si="19"/>
        <v>726.88</v>
      </c>
      <c r="BI42" s="6">
        <f t="shared" si="19"/>
        <v>3528.12</v>
      </c>
      <c r="BJ42" s="6">
        <f t="shared" si="19"/>
        <v>2266.2099999999996</v>
      </c>
      <c r="BK42" s="6">
        <f t="shared" si="19"/>
        <v>3085.06</v>
      </c>
      <c r="BL42" s="6">
        <f t="shared" si="19"/>
        <v>3044.6</v>
      </c>
      <c r="BM42" s="6">
        <f t="shared" si="19"/>
        <v>6025.83</v>
      </c>
      <c r="BN42" s="6">
        <f t="shared" ref="BN42:CA42" si="20">SUM(BN37:BN41)</f>
        <v>2220.06</v>
      </c>
      <c r="BO42" s="6">
        <f t="shared" si="20"/>
        <v>1500</v>
      </c>
      <c r="BP42" s="6">
        <f t="shared" si="20"/>
        <v>1875</v>
      </c>
      <c r="BQ42" s="6">
        <f t="shared" si="20"/>
        <v>1763.9</v>
      </c>
      <c r="BR42" s="6">
        <f t="shared" si="20"/>
        <v>2456.23</v>
      </c>
      <c r="BS42" s="6">
        <f t="shared" si="20"/>
        <v>225.61</v>
      </c>
      <c r="BT42" s="6">
        <f t="shared" si="20"/>
        <v>1863.3700000000001</v>
      </c>
      <c r="BU42" s="6">
        <f t="shared" si="20"/>
        <v>1825.3700000000001</v>
      </c>
      <c r="BV42" s="6">
        <f t="shared" si="20"/>
        <v>5.8</v>
      </c>
      <c r="BW42" s="6">
        <f t="shared" si="20"/>
        <v>1094.03</v>
      </c>
      <c r="BX42" s="6">
        <f t="shared" si="20"/>
        <v>63.43</v>
      </c>
      <c r="BY42" s="6">
        <f t="shared" si="20"/>
        <v>50.1</v>
      </c>
      <c r="BZ42" s="6">
        <f t="shared" si="20"/>
        <v>0</v>
      </c>
      <c r="CA42" s="6">
        <f t="shared" si="20"/>
        <v>4.63</v>
      </c>
    </row>
    <row r="43" spans="1:79" x14ac:dyDescent="0.3">
      <c r="A43" s="7" t="s">
        <v>120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</row>
    <row r="44" spans="1:79" x14ac:dyDescent="0.3">
      <c r="A44" s="9" t="s">
        <v>121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82.24</v>
      </c>
      <c r="H44" s="10">
        <v>0</v>
      </c>
      <c r="I44" s="10">
        <v>153.41999999999999</v>
      </c>
      <c r="J44" s="10">
        <v>207.15</v>
      </c>
      <c r="K44" s="10">
        <v>6.63</v>
      </c>
      <c r="L44" s="10">
        <v>175.47</v>
      </c>
      <c r="M44" s="10">
        <v>0</v>
      </c>
      <c r="N44" s="10">
        <v>23.22</v>
      </c>
      <c r="O44" s="10">
        <v>468.59</v>
      </c>
      <c r="P44" s="10">
        <v>-464.92</v>
      </c>
      <c r="Q44" s="10">
        <v>0</v>
      </c>
      <c r="R44" s="10">
        <v>0</v>
      </c>
      <c r="S44" s="10">
        <v>0.21</v>
      </c>
      <c r="T44" s="10">
        <v>4.72</v>
      </c>
      <c r="U44" s="10">
        <v>637.39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-0.2</v>
      </c>
      <c r="AD44" s="10">
        <v>0</v>
      </c>
      <c r="AE44" s="10">
        <v>0</v>
      </c>
      <c r="AF44" s="10">
        <v>0</v>
      </c>
      <c r="AG44" s="10">
        <v>350</v>
      </c>
      <c r="AH44" s="10">
        <v>13.94</v>
      </c>
      <c r="AI44" s="10">
        <v>265.45999999999998</v>
      </c>
      <c r="AJ44" s="10">
        <v>0</v>
      </c>
      <c r="AK44" s="10">
        <v>0</v>
      </c>
      <c r="AL44" s="10">
        <v>-206.73</v>
      </c>
      <c r="AM44" s="10">
        <v>0</v>
      </c>
      <c r="AN44" s="10">
        <v>0</v>
      </c>
      <c r="AO44" s="10">
        <v>0</v>
      </c>
      <c r="AP44" s="10">
        <v>0</v>
      </c>
      <c r="AQ44" s="10">
        <v>3.59</v>
      </c>
      <c r="AR44" s="10">
        <v>38.090000000000003</v>
      </c>
      <c r="AS44" s="10">
        <v>350</v>
      </c>
      <c r="AT44" s="10">
        <v>0</v>
      </c>
      <c r="AU44" s="10">
        <v>0</v>
      </c>
      <c r="AV44" s="10">
        <v>0</v>
      </c>
      <c r="AW44" s="10">
        <v>106.92</v>
      </c>
      <c r="AX44" s="10">
        <v>10</v>
      </c>
      <c r="AY44" s="10">
        <v>18</v>
      </c>
      <c r="AZ44" s="10">
        <v>18</v>
      </c>
      <c r="BA44" s="10">
        <v>26</v>
      </c>
      <c r="BB44" s="10">
        <v>26</v>
      </c>
      <c r="BC44" s="10">
        <v>26</v>
      </c>
      <c r="BD44" s="10">
        <v>26</v>
      </c>
      <c r="BE44" s="10">
        <v>376</v>
      </c>
      <c r="BF44" s="10">
        <v>26</v>
      </c>
      <c r="BG44" s="10">
        <v>10</v>
      </c>
      <c r="BH44" s="10">
        <v>1598.5</v>
      </c>
      <c r="BI44" s="10">
        <v>10</v>
      </c>
      <c r="BJ44" s="10">
        <v>55.9</v>
      </c>
      <c r="BK44" s="10">
        <v>1100.5</v>
      </c>
      <c r="BL44" s="10">
        <v>18</v>
      </c>
      <c r="BM44" s="10">
        <v>107.86</v>
      </c>
      <c r="BN44" s="10">
        <v>8</v>
      </c>
      <c r="BO44" s="10">
        <v>8</v>
      </c>
      <c r="BP44" s="10">
        <v>8</v>
      </c>
      <c r="BQ44" s="10">
        <v>352.04</v>
      </c>
      <c r="BR44" s="10">
        <v>8</v>
      </c>
      <c r="BS44" s="10">
        <v>85.7</v>
      </c>
      <c r="BT44" s="10">
        <v>8</v>
      </c>
      <c r="BU44" s="10">
        <v>18</v>
      </c>
      <c r="BV44" s="10">
        <v>8</v>
      </c>
      <c r="BW44" s="10">
        <v>64.37</v>
      </c>
      <c r="BX44" s="10">
        <v>8</v>
      </c>
      <c r="BY44" s="10">
        <v>8.48</v>
      </c>
      <c r="BZ44" s="10">
        <v>8</v>
      </c>
      <c r="CA44" s="10">
        <v>18</v>
      </c>
    </row>
    <row r="45" spans="1:79" x14ac:dyDescent="0.3">
      <c r="A45" s="9" t="s">
        <v>122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4.91</v>
      </c>
      <c r="O45" s="10">
        <v>3.42</v>
      </c>
      <c r="P45" s="10">
        <v>0</v>
      </c>
      <c r="Q45" s="10">
        <v>74.62</v>
      </c>
      <c r="R45" s="10">
        <v>20.29</v>
      </c>
      <c r="S45" s="10">
        <v>21.7</v>
      </c>
      <c r="T45" s="10">
        <v>13.18</v>
      </c>
      <c r="U45" s="10">
        <v>47.85</v>
      </c>
      <c r="V45" s="10">
        <v>37.369999999999997</v>
      </c>
      <c r="W45" s="10">
        <v>421.48</v>
      </c>
      <c r="X45" s="10">
        <v>158.03</v>
      </c>
      <c r="Y45" s="10">
        <v>38.869999999999997</v>
      </c>
      <c r="Z45" s="10">
        <v>44.35</v>
      </c>
      <c r="AA45" s="10">
        <v>361.25</v>
      </c>
      <c r="AB45" s="10">
        <v>39.25</v>
      </c>
      <c r="AC45" s="10">
        <v>56.33</v>
      </c>
      <c r="AD45" s="10">
        <v>622.22</v>
      </c>
      <c r="AE45" s="10">
        <v>160.18</v>
      </c>
      <c r="AF45" s="10">
        <v>510.9</v>
      </c>
      <c r="AG45" s="10">
        <v>707.9</v>
      </c>
      <c r="AH45" s="10">
        <v>31.77</v>
      </c>
      <c r="AI45" s="10">
        <v>472.22</v>
      </c>
      <c r="AJ45" s="10">
        <v>134.83000000000001</v>
      </c>
      <c r="AK45" s="10">
        <v>324.11</v>
      </c>
      <c r="AL45" s="10">
        <v>286.58</v>
      </c>
      <c r="AM45" s="10">
        <v>1083.22</v>
      </c>
      <c r="AN45" s="10">
        <v>786.76</v>
      </c>
      <c r="AO45" s="10">
        <v>250.78</v>
      </c>
      <c r="AP45" s="10">
        <v>563.92999999999995</v>
      </c>
      <c r="AQ45" s="10">
        <v>355.65</v>
      </c>
      <c r="AR45" s="10">
        <v>37.25</v>
      </c>
      <c r="AS45" s="10">
        <v>321.93</v>
      </c>
      <c r="AT45" s="10">
        <v>404.78</v>
      </c>
      <c r="AU45" s="10">
        <v>479.49</v>
      </c>
      <c r="AV45" s="10">
        <v>135.63999999999999</v>
      </c>
      <c r="AW45" s="10">
        <v>41.95</v>
      </c>
      <c r="AX45" s="10">
        <v>36.340000000000003</v>
      </c>
      <c r="AY45" s="10">
        <v>2832.16</v>
      </c>
      <c r="AZ45" s="10">
        <v>84.91</v>
      </c>
      <c r="BA45" s="10">
        <v>89.93</v>
      </c>
      <c r="BB45" s="10">
        <v>519.79999999999995</v>
      </c>
      <c r="BC45" s="10">
        <v>140.97</v>
      </c>
      <c r="BD45" s="10">
        <v>87.71</v>
      </c>
      <c r="BE45" s="10">
        <v>239.52</v>
      </c>
      <c r="BF45" s="10">
        <v>358.65</v>
      </c>
      <c r="BG45" s="10">
        <v>234.09</v>
      </c>
      <c r="BH45" s="10">
        <v>27.23</v>
      </c>
      <c r="BI45" s="10">
        <v>70.290000000000006</v>
      </c>
      <c r="BJ45" s="10">
        <v>32.78</v>
      </c>
      <c r="BK45" s="10">
        <v>200.07</v>
      </c>
      <c r="BL45" s="10">
        <v>0</v>
      </c>
      <c r="BM45" s="10">
        <v>25.23</v>
      </c>
      <c r="BN45" s="10">
        <v>53.87</v>
      </c>
      <c r="BO45" s="10">
        <v>0</v>
      </c>
      <c r="BP45" s="10">
        <v>25.96</v>
      </c>
      <c r="BQ45" s="10">
        <v>10.34</v>
      </c>
      <c r="BR45" s="10">
        <v>0</v>
      </c>
      <c r="BS45" s="10">
        <v>0</v>
      </c>
      <c r="BT45" s="10">
        <v>40.950000000000003</v>
      </c>
      <c r="BU45" s="10">
        <v>71.150000000000006</v>
      </c>
      <c r="BV45" s="10">
        <v>184.77</v>
      </c>
      <c r="BW45" s="10">
        <v>0</v>
      </c>
      <c r="BX45" s="10">
        <v>19.600000000000001</v>
      </c>
      <c r="BY45" s="10">
        <v>5.92</v>
      </c>
      <c r="BZ45" s="10">
        <v>0</v>
      </c>
      <c r="CA45" s="10">
        <v>5.98</v>
      </c>
    </row>
    <row r="46" spans="1:79" x14ac:dyDescent="0.3">
      <c r="A46" s="11" t="s">
        <v>123</v>
      </c>
      <c r="B46" s="6">
        <f t="shared" ref="B46:AG46" si="21">SUM(B44:B45)</f>
        <v>0</v>
      </c>
      <c r="C46" s="6">
        <f t="shared" si="21"/>
        <v>0</v>
      </c>
      <c r="D46" s="6">
        <f t="shared" si="21"/>
        <v>0</v>
      </c>
      <c r="E46" s="6">
        <f t="shared" si="21"/>
        <v>0</v>
      </c>
      <c r="F46" s="6">
        <f t="shared" si="21"/>
        <v>0</v>
      </c>
      <c r="G46" s="6">
        <f t="shared" si="21"/>
        <v>82.24</v>
      </c>
      <c r="H46" s="6">
        <f t="shared" si="21"/>
        <v>0</v>
      </c>
      <c r="I46" s="6">
        <f t="shared" si="21"/>
        <v>153.41999999999999</v>
      </c>
      <c r="J46" s="6">
        <f t="shared" si="21"/>
        <v>207.15</v>
      </c>
      <c r="K46" s="6">
        <f t="shared" si="21"/>
        <v>6.63</v>
      </c>
      <c r="L46" s="6">
        <f t="shared" si="21"/>
        <v>175.47</v>
      </c>
      <c r="M46" s="6">
        <f t="shared" si="21"/>
        <v>0</v>
      </c>
      <c r="N46" s="6">
        <f t="shared" si="21"/>
        <v>28.13</v>
      </c>
      <c r="O46" s="6">
        <f t="shared" si="21"/>
        <v>472.01</v>
      </c>
      <c r="P46" s="6">
        <f t="shared" si="21"/>
        <v>-464.92</v>
      </c>
      <c r="Q46" s="6">
        <f t="shared" si="21"/>
        <v>74.62</v>
      </c>
      <c r="R46" s="6">
        <f t="shared" si="21"/>
        <v>20.29</v>
      </c>
      <c r="S46" s="6">
        <f t="shared" si="21"/>
        <v>21.91</v>
      </c>
      <c r="T46" s="6">
        <f t="shared" si="21"/>
        <v>17.899999999999999</v>
      </c>
      <c r="U46" s="6">
        <f t="shared" si="21"/>
        <v>685.24</v>
      </c>
      <c r="V46" s="6">
        <f t="shared" si="21"/>
        <v>37.369999999999997</v>
      </c>
      <c r="W46" s="6">
        <f t="shared" si="21"/>
        <v>421.48</v>
      </c>
      <c r="X46" s="6">
        <f t="shared" si="21"/>
        <v>158.03</v>
      </c>
      <c r="Y46" s="6">
        <f t="shared" si="21"/>
        <v>38.869999999999997</v>
      </c>
      <c r="Z46" s="6">
        <f t="shared" si="21"/>
        <v>44.35</v>
      </c>
      <c r="AA46" s="6">
        <f t="shared" si="21"/>
        <v>361.25</v>
      </c>
      <c r="AB46" s="6">
        <f t="shared" si="21"/>
        <v>39.25</v>
      </c>
      <c r="AC46" s="6">
        <f t="shared" si="21"/>
        <v>56.129999999999995</v>
      </c>
      <c r="AD46" s="6">
        <f t="shared" si="21"/>
        <v>622.22</v>
      </c>
      <c r="AE46" s="6">
        <f t="shared" si="21"/>
        <v>160.18</v>
      </c>
      <c r="AF46" s="6">
        <f t="shared" si="21"/>
        <v>510.9</v>
      </c>
      <c r="AG46" s="6">
        <f t="shared" si="21"/>
        <v>1057.9000000000001</v>
      </c>
      <c r="AH46" s="6">
        <f t="shared" ref="AH46:BM46" si="22">SUM(AH44:AH45)</f>
        <v>45.71</v>
      </c>
      <c r="AI46" s="6">
        <f t="shared" si="22"/>
        <v>737.68000000000006</v>
      </c>
      <c r="AJ46" s="6">
        <f t="shared" si="22"/>
        <v>134.83000000000001</v>
      </c>
      <c r="AK46" s="6">
        <f t="shared" si="22"/>
        <v>324.11</v>
      </c>
      <c r="AL46" s="6">
        <f t="shared" si="22"/>
        <v>79.849999999999994</v>
      </c>
      <c r="AM46" s="6">
        <f t="shared" si="22"/>
        <v>1083.22</v>
      </c>
      <c r="AN46" s="6">
        <f t="shared" si="22"/>
        <v>786.76</v>
      </c>
      <c r="AO46" s="6">
        <f t="shared" si="22"/>
        <v>250.78</v>
      </c>
      <c r="AP46" s="6">
        <f t="shared" si="22"/>
        <v>563.92999999999995</v>
      </c>
      <c r="AQ46" s="6">
        <f t="shared" si="22"/>
        <v>359.23999999999995</v>
      </c>
      <c r="AR46" s="6">
        <f t="shared" si="22"/>
        <v>75.34</v>
      </c>
      <c r="AS46" s="6">
        <f t="shared" si="22"/>
        <v>671.93000000000006</v>
      </c>
      <c r="AT46" s="6">
        <f t="shared" si="22"/>
        <v>404.78</v>
      </c>
      <c r="AU46" s="6">
        <f t="shared" si="22"/>
        <v>479.49</v>
      </c>
      <c r="AV46" s="6">
        <f t="shared" si="22"/>
        <v>135.63999999999999</v>
      </c>
      <c r="AW46" s="6">
        <f t="shared" si="22"/>
        <v>148.87</v>
      </c>
      <c r="AX46" s="6">
        <f t="shared" si="22"/>
        <v>46.34</v>
      </c>
      <c r="AY46" s="6">
        <f t="shared" si="22"/>
        <v>2850.16</v>
      </c>
      <c r="AZ46" s="6">
        <f t="shared" si="22"/>
        <v>102.91</v>
      </c>
      <c r="BA46" s="6">
        <f t="shared" si="22"/>
        <v>115.93</v>
      </c>
      <c r="BB46" s="6">
        <f t="shared" si="22"/>
        <v>545.79999999999995</v>
      </c>
      <c r="BC46" s="6">
        <f t="shared" si="22"/>
        <v>166.97</v>
      </c>
      <c r="BD46" s="6">
        <f t="shared" si="22"/>
        <v>113.71</v>
      </c>
      <c r="BE46" s="6">
        <f t="shared" si="22"/>
        <v>615.52</v>
      </c>
      <c r="BF46" s="6">
        <f t="shared" si="22"/>
        <v>384.65</v>
      </c>
      <c r="BG46" s="6">
        <f t="shared" si="22"/>
        <v>244.09</v>
      </c>
      <c r="BH46" s="6">
        <f t="shared" si="22"/>
        <v>1625.73</v>
      </c>
      <c r="BI46" s="6">
        <f t="shared" si="22"/>
        <v>80.290000000000006</v>
      </c>
      <c r="BJ46" s="6">
        <f t="shared" si="22"/>
        <v>88.68</v>
      </c>
      <c r="BK46" s="6">
        <f t="shared" si="22"/>
        <v>1300.57</v>
      </c>
      <c r="BL46" s="6">
        <f t="shared" si="22"/>
        <v>18</v>
      </c>
      <c r="BM46" s="6">
        <f t="shared" si="22"/>
        <v>133.09</v>
      </c>
      <c r="BN46" s="6">
        <f t="shared" ref="BN46:CA46" si="23">SUM(BN44:BN45)</f>
        <v>61.87</v>
      </c>
      <c r="BO46" s="6">
        <f t="shared" si="23"/>
        <v>8</v>
      </c>
      <c r="BP46" s="6">
        <f t="shared" si="23"/>
        <v>33.96</v>
      </c>
      <c r="BQ46" s="6">
        <f t="shared" si="23"/>
        <v>362.38</v>
      </c>
      <c r="BR46" s="6">
        <f t="shared" si="23"/>
        <v>8</v>
      </c>
      <c r="BS46" s="6">
        <f t="shared" si="23"/>
        <v>85.7</v>
      </c>
      <c r="BT46" s="6">
        <f t="shared" si="23"/>
        <v>48.95</v>
      </c>
      <c r="BU46" s="6">
        <f t="shared" si="23"/>
        <v>89.15</v>
      </c>
      <c r="BV46" s="6">
        <f t="shared" si="23"/>
        <v>192.77</v>
      </c>
      <c r="BW46" s="6">
        <f t="shared" si="23"/>
        <v>64.37</v>
      </c>
      <c r="BX46" s="6">
        <f t="shared" si="23"/>
        <v>27.6</v>
      </c>
      <c r="BY46" s="6">
        <f t="shared" si="23"/>
        <v>14.4</v>
      </c>
      <c r="BZ46" s="6">
        <f t="shared" si="23"/>
        <v>8</v>
      </c>
      <c r="CA46" s="6">
        <f t="shared" si="23"/>
        <v>23.98</v>
      </c>
    </row>
    <row r="47" spans="1:79" x14ac:dyDescent="0.3">
      <c r="A47" s="7" t="s">
        <v>124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</row>
    <row r="48" spans="1:79" x14ac:dyDescent="0.3">
      <c r="A48" s="9" t="s">
        <v>125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484.93</v>
      </c>
      <c r="AR48" s="10">
        <v>0</v>
      </c>
      <c r="AS48" s="10">
        <v>0</v>
      </c>
      <c r="AT48" s="10">
        <v>50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</row>
    <row r="49" spans="1:79" x14ac:dyDescent="0.3">
      <c r="A49" s="9" t="s">
        <v>126</v>
      </c>
      <c r="B49" s="10">
        <v>0</v>
      </c>
      <c r="C49" s="10">
        <v>0</v>
      </c>
      <c r="D49" s="10">
        <v>18.18</v>
      </c>
      <c r="E49" s="10">
        <v>7.27</v>
      </c>
      <c r="F49" s="10">
        <v>0</v>
      </c>
      <c r="G49" s="10">
        <v>0</v>
      </c>
      <c r="H49" s="10">
        <v>1255.18</v>
      </c>
      <c r="I49" s="10">
        <v>501.22</v>
      </c>
      <c r="J49" s="10">
        <v>42.73</v>
      </c>
      <c r="K49" s="10">
        <v>84.73</v>
      </c>
      <c r="L49" s="10">
        <v>89.81</v>
      </c>
      <c r="M49" s="10">
        <v>0</v>
      </c>
      <c r="N49" s="10">
        <v>89.25</v>
      </c>
      <c r="O49" s="10">
        <v>44.51</v>
      </c>
      <c r="P49" s="10">
        <v>78.459999999999994</v>
      </c>
      <c r="Q49" s="10">
        <v>42.49</v>
      </c>
      <c r="R49" s="10">
        <v>82.5</v>
      </c>
      <c r="S49" s="10">
        <v>25.04</v>
      </c>
      <c r="T49" s="10">
        <v>717.27</v>
      </c>
      <c r="U49" s="10">
        <v>261.94</v>
      </c>
      <c r="V49" s="10">
        <v>15.2</v>
      </c>
      <c r="W49" s="10">
        <v>31.69</v>
      </c>
      <c r="X49" s="10">
        <v>65.180000000000007</v>
      </c>
      <c r="Y49" s="10">
        <v>214.03</v>
      </c>
      <c r="Z49" s="10">
        <v>203.09</v>
      </c>
      <c r="AA49" s="10">
        <v>54.08</v>
      </c>
      <c r="AB49" s="10">
        <v>0</v>
      </c>
      <c r="AC49" s="10">
        <v>22.73</v>
      </c>
      <c r="AD49" s="10">
        <v>103.65</v>
      </c>
      <c r="AE49" s="10">
        <v>73.8</v>
      </c>
      <c r="AF49" s="10">
        <v>100</v>
      </c>
      <c r="AG49" s="10">
        <v>70</v>
      </c>
      <c r="AH49" s="10">
        <v>89.12</v>
      </c>
      <c r="AI49" s="10">
        <v>70</v>
      </c>
      <c r="AJ49" s="10">
        <v>179.63</v>
      </c>
      <c r="AK49" s="10">
        <v>364.45</v>
      </c>
      <c r="AL49" s="10">
        <v>82.88</v>
      </c>
      <c r="AM49" s="10">
        <v>127.77</v>
      </c>
      <c r="AN49" s="10">
        <v>200</v>
      </c>
      <c r="AO49" s="10">
        <v>236.36</v>
      </c>
      <c r="AP49" s="10">
        <v>80</v>
      </c>
      <c r="AQ49" s="10">
        <v>93.64</v>
      </c>
      <c r="AR49" s="10">
        <v>0</v>
      </c>
      <c r="AS49" s="10">
        <v>80</v>
      </c>
      <c r="AT49" s="10">
        <v>80</v>
      </c>
      <c r="AU49" s="10">
        <v>145.80000000000001</v>
      </c>
      <c r="AV49" s="10">
        <v>45.45</v>
      </c>
      <c r="AW49" s="10">
        <v>78.400000000000006</v>
      </c>
      <c r="AX49" s="10">
        <v>94.45</v>
      </c>
      <c r="AY49" s="10">
        <v>753.64</v>
      </c>
      <c r="AZ49" s="10">
        <v>875.3</v>
      </c>
      <c r="BA49" s="10">
        <v>227.79</v>
      </c>
      <c r="BB49" s="10">
        <v>722.93</v>
      </c>
      <c r="BC49" s="10">
        <v>80</v>
      </c>
      <c r="BD49" s="10">
        <v>114.15</v>
      </c>
      <c r="BE49" s="10">
        <v>495</v>
      </c>
      <c r="BF49" s="10">
        <v>236.64</v>
      </c>
      <c r="BG49" s="10">
        <v>347.9</v>
      </c>
      <c r="BH49" s="10">
        <v>201.23</v>
      </c>
      <c r="BI49" s="10">
        <v>400.14</v>
      </c>
      <c r="BJ49" s="10">
        <v>1879.86</v>
      </c>
      <c r="BK49" s="10">
        <v>17.27</v>
      </c>
      <c r="BL49" s="10">
        <v>183.27</v>
      </c>
      <c r="BM49" s="10">
        <v>0</v>
      </c>
      <c r="BN49" s="10">
        <v>204.05</v>
      </c>
      <c r="BO49" s="10">
        <v>0</v>
      </c>
      <c r="BP49" s="10">
        <v>75.45</v>
      </c>
      <c r="BQ49" s="10">
        <v>166.77</v>
      </c>
      <c r="BR49" s="10">
        <v>251.18</v>
      </c>
      <c r="BS49" s="10">
        <v>116.9</v>
      </c>
      <c r="BT49" s="10">
        <v>0</v>
      </c>
      <c r="BU49" s="10">
        <v>38.18</v>
      </c>
      <c r="BV49" s="10">
        <v>109.95</v>
      </c>
      <c r="BW49" s="10">
        <v>0</v>
      </c>
      <c r="BX49" s="10">
        <v>47.68</v>
      </c>
      <c r="BY49" s="10">
        <v>682.9</v>
      </c>
      <c r="BZ49" s="10">
        <v>0</v>
      </c>
      <c r="CA49" s="10">
        <v>0</v>
      </c>
    </row>
    <row r="50" spans="1:79" x14ac:dyDescent="0.3">
      <c r="A50" s="9" t="s">
        <v>127</v>
      </c>
      <c r="B50" s="10">
        <v>9.09</v>
      </c>
      <c r="C50" s="10">
        <v>0</v>
      </c>
      <c r="D50" s="10">
        <v>0</v>
      </c>
      <c r="E50" s="10">
        <v>0</v>
      </c>
      <c r="F50" s="10">
        <v>0</v>
      </c>
      <c r="G50" s="10">
        <v>290</v>
      </c>
      <c r="H50" s="10">
        <v>0</v>
      </c>
      <c r="I50" s="10">
        <v>0</v>
      </c>
      <c r="J50" s="10">
        <v>0</v>
      </c>
      <c r="K50" s="10">
        <v>1269.82</v>
      </c>
      <c r="L50" s="10">
        <v>0</v>
      </c>
      <c r="M50" s="10">
        <v>1075</v>
      </c>
      <c r="N50" s="10">
        <v>944.39</v>
      </c>
      <c r="O50" s="10">
        <v>0</v>
      </c>
      <c r="P50" s="10">
        <v>462.91</v>
      </c>
      <c r="Q50" s="10">
        <v>0</v>
      </c>
      <c r="R50" s="10">
        <v>290.54000000000002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344.95</v>
      </c>
      <c r="AA50" s="10">
        <v>653.55999999999995</v>
      </c>
      <c r="AB50" s="10">
        <v>180.96</v>
      </c>
      <c r="AC50" s="10">
        <v>1124.19</v>
      </c>
      <c r="AD50" s="10">
        <v>315.77999999999997</v>
      </c>
      <c r="AE50" s="10">
        <v>0</v>
      </c>
      <c r="AF50" s="10">
        <v>13.64</v>
      </c>
      <c r="AG50" s="10">
        <v>112.4</v>
      </c>
      <c r="AH50" s="10">
        <v>145.55000000000001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6.17</v>
      </c>
      <c r="AO50" s="10">
        <v>113.91</v>
      </c>
      <c r="AP50" s="10">
        <v>0</v>
      </c>
      <c r="AQ50" s="10">
        <v>27.61</v>
      </c>
      <c r="AR50" s="10">
        <v>64.36</v>
      </c>
      <c r="AS50" s="10">
        <v>21.82</v>
      </c>
      <c r="AT50" s="10">
        <v>787.96</v>
      </c>
      <c r="AU50" s="10">
        <v>48</v>
      </c>
      <c r="AV50" s="10">
        <v>0</v>
      </c>
      <c r="AW50" s="10">
        <v>0</v>
      </c>
      <c r="AX50" s="10">
        <v>0</v>
      </c>
      <c r="AY50" s="10">
        <v>68.760000000000005</v>
      </c>
      <c r="AZ50" s="10">
        <v>0</v>
      </c>
      <c r="BA50" s="10">
        <v>209.33</v>
      </c>
      <c r="BB50" s="10">
        <v>346.09</v>
      </c>
      <c r="BC50" s="10">
        <v>10.27</v>
      </c>
      <c r="BD50" s="10">
        <v>149.94999999999999</v>
      </c>
      <c r="BE50" s="10">
        <v>183.84</v>
      </c>
      <c r="BF50" s="10">
        <v>73.05</v>
      </c>
      <c r="BG50" s="10">
        <v>45.1</v>
      </c>
      <c r="BH50" s="10">
        <v>0</v>
      </c>
      <c r="BI50" s="10">
        <v>0</v>
      </c>
      <c r="BJ50" s="10">
        <v>55.05</v>
      </c>
      <c r="BK50" s="10">
        <v>283.76</v>
      </c>
      <c r="BL50" s="10">
        <v>0</v>
      </c>
      <c r="BM50" s="10">
        <v>0</v>
      </c>
      <c r="BN50" s="10">
        <v>0</v>
      </c>
      <c r="BO50" s="10">
        <v>0</v>
      </c>
      <c r="BP50" s="10">
        <v>1141.81</v>
      </c>
      <c r="BQ50" s="10">
        <v>212.81</v>
      </c>
      <c r="BR50" s="10">
        <v>431.79</v>
      </c>
      <c r="BS50" s="10">
        <v>470.35</v>
      </c>
      <c r="BT50" s="10">
        <v>738.72</v>
      </c>
      <c r="BU50" s="10">
        <v>0</v>
      </c>
      <c r="BV50" s="10">
        <v>42.53</v>
      </c>
      <c r="BW50" s="10">
        <v>95.48</v>
      </c>
      <c r="BX50" s="10">
        <v>0</v>
      </c>
      <c r="BY50" s="10">
        <v>20</v>
      </c>
      <c r="BZ50" s="10">
        <v>59.44</v>
      </c>
      <c r="CA50" s="10">
        <v>151.79</v>
      </c>
    </row>
    <row r="51" spans="1:79" x14ac:dyDescent="0.3">
      <c r="A51" s="9" t="s">
        <v>128</v>
      </c>
      <c r="B51" s="10">
        <v>336.89</v>
      </c>
      <c r="C51" s="10">
        <v>254.09</v>
      </c>
      <c r="D51" s="10">
        <v>254.09</v>
      </c>
      <c r="E51" s="10">
        <v>354.09</v>
      </c>
      <c r="F51" s="10">
        <v>1035.0899999999999</v>
      </c>
      <c r="G51" s="10">
        <v>450</v>
      </c>
      <c r="H51" s="10">
        <v>1290.9100000000001</v>
      </c>
      <c r="I51" s="10">
        <v>97.62</v>
      </c>
      <c r="J51" s="10">
        <v>2018.3</v>
      </c>
      <c r="K51" s="10">
        <v>485.44</v>
      </c>
      <c r="L51" s="10">
        <v>203.48</v>
      </c>
      <c r="M51" s="10">
        <v>262</v>
      </c>
      <c r="N51" s="10">
        <v>339.84</v>
      </c>
      <c r="O51" s="10">
        <v>213.03</v>
      </c>
      <c r="P51" s="10">
        <v>473.19</v>
      </c>
      <c r="Q51" s="10">
        <v>578.91999999999996</v>
      </c>
      <c r="R51" s="10">
        <v>1146.83</v>
      </c>
      <c r="S51" s="10">
        <v>528.91999999999996</v>
      </c>
      <c r="T51" s="10">
        <v>3878.92</v>
      </c>
      <c r="U51" s="10">
        <v>735.56</v>
      </c>
      <c r="V51" s="10">
        <v>578.91999999999996</v>
      </c>
      <c r="W51" s="10">
        <v>663.92</v>
      </c>
      <c r="X51" s="10">
        <v>2085.3200000000002</v>
      </c>
      <c r="Y51" s="10">
        <v>398.01</v>
      </c>
      <c r="Z51" s="10">
        <v>398.01</v>
      </c>
      <c r="AA51" s="10">
        <v>398.01</v>
      </c>
      <c r="AB51" s="10">
        <v>456.64</v>
      </c>
      <c r="AC51" s="10">
        <v>782.43</v>
      </c>
      <c r="AD51" s="10">
        <v>1178.5999999999999</v>
      </c>
      <c r="AE51" s="10">
        <v>1086.6099999999999</v>
      </c>
      <c r="AF51" s="10">
        <v>554.30999999999995</v>
      </c>
      <c r="AG51" s="10">
        <v>596.16999999999996</v>
      </c>
      <c r="AH51" s="10">
        <v>445.3</v>
      </c>
      <c r="AI51" s="10">
        <v>560.86</v>
      </c>
      <c r="AJ51" s="10">
        <v>560.86</v>
      </c>
      <c r="AK51" s="10">
        <v>607.17999999999995</v>
      </c>
      <c r="AL51" s="10">
        <v>1655.43</v>
      </c>
      <c r="AM51" s="10">
        <v>566.08000000000004</v>
      </c>
      <c r="AN51" s="10">
        <v>449.74</v>
      </c>
      <c r="AO51" s="10">
        <v>460.89</v>
      </c>
      <c r="AP51" s="10">
        <v>1043.08</v>
      </c>
      <c r="AQ51" s="10">
        <v>233.47</v>
      </c>
      <c r="AR51" s="10">
        <v>585.23</v>
      </c>
      <c r="AS51" s="10">
        <v>573.73</v>
      </c>
      <c r="AT51" s="10">
        <v>642.30999999999995</v>
      </c>
      <c r="AU51" s="10">
        <v>359.81</v>
      </c>
      <c r="AV51" s="10">
        <v>282.54000000000002</v>
      </c>
      <c r="AW51" s="10">
        <v>317.66000000000003</v>
      </c>
      <c r="AX51" s="10">
        <v>873.85</v>
      </c>
      <c r="AY51" s="10">
        <v>463.85</v>
      </c>
      <c r="AZ51" s="10">
        <v>2238.9699999999998</v>
      </c>
      <c r="BA51" s="10">
        <v>1852.37</v>
      </c>
      <c r="BB51" s="10">
        <v>4500.8500000000004</v>
      </c>
      <c r="BC51" s="10">
        <v>4479.6400000000003</v>
      </c>
      <c r="BD51" s="10">
        <v>1506.12</v>
      </c>
      <c r="BE51" s="10">
        <v>6441.53</v>
      </c>
      <c r="BF51" s="10">
        <v>4718.8599999999997</v>
      </c>
      <c r="BG51" s="10">
        <v>8511.65</v>
      </c>
      <c r="BH51" s="10">
        <v>3524.16</v>
      </c>
      <c r="BI51" s="10">
        <v>6256.18</v>
      </c>
      <c r="BJ51" s="10">
        <v>-4389.2299999999996</v>
      </c>
      <c r="BK51" s="10">
        <v>7286.43</v>
      </c>
      <c r="BL51" s="10">
        <v>6098.86</v>
      </c>
      <c r="BM51" s="10">
        <v>3355.85</v>
      </c>
      <c r="BN51" s="10">
        <v>-2711.47</v>
      </c>
      <c r="BO51" s="10">
        <v>3432.02</v>
      </c>
      <c r="BP51" s="10">
        <v>3730.41</v>
      </c>
      <c r="BQ51" s="10">
        <v>3685.85</v>
      </c>
      <c r="BR51" s="10">
        <v>1839.57</v>
      </c>
      <c r="BS51" s="10">
        <v>2570.17</v>
      </c>
      <c r="BT51" s="10">
        <v>2635.17</v>
      </c>
      <c r="BU51" s="10">
        <v>2320.17</v>
      </c>
      <c r="BV51" s="10">
        <v>4328.8100000000004</v>
      </c>
      <c r="BW51" s="10">
        <v>2158.15</v>
      </c>
      <c r="BX51" s="10">
        <v>9711.77</v>
      </c>
      <c r="BY51" s="10">
        <v>2652.65</v>
      </c>
      <c r="BZ51" s="10">
        <v>3474.53</v>
      </c>
      <c r="CA51" s="10">
        <v>3022.75</v>
      </c>
    </row>
    <row r="52" spans="1:79" x14ac:dyDescent="0.3">
      <c r="A52" s="9" t="s">
        <v>129</v>
      </c>
      <c r="B52" s="10">
        <v>0</v>
      </c>
      <c r="C52" s="10">
        <v>572.9</v>
      </c>
      <c r="D52" s="10">
        <v>299.98</v>
      </c>
      <c r="E52" s="10">
        <v>599.85</v>
      </c>
      <c r="F52" s="10">
        <v>0</v>
      </c>
      <c r="G52" s="10">
        <v>274.79000000000002</v>
      </c>
      <c r="H52" s="10">
        <v>425.72</v>
      </c>
      <c r="I52" s="10">
        <v>0</v>
      </c>
      <c r="J52" s="10">
        <v>793.59</v>
      </c>
      <c r="K52" s="10">
        <v>0</v>
      </c>
      <c r="L52" s="10">
        <v>530.69000000000005</v>
      </c>
      <c r="M52" s="10">
        <v>296.41000000000003</v>
      </c>
      <c r="N52" s="10">
        <v>546.30999999999995</v>
      </c>
      <c r="O52" s="10">
        <v>0</v>
      </c>
      <c r="P52" s="10">
        <v>259.87</v>
      </c>
      <c r="Q52" s="10">
        <v>259.02</v>
      </c>
      <c r="R52" s="10">
        <v>258.7</v>
      </c>
      <c r="S52" s="10">
        <v>257.14999999999998</v>
      </c>
      <c r="T52" s="10">
        <v>257.16000000000003</v>
      </c>
      <c r="U52" s="10">
        <v>189.22</v>
      </c>
      <c r="V52" s="10">
        <v>213.32</v>
      </c>
      <c r="W52" s="10">
        <v>213.4</v>
      </c>
      <c r="X52" s="10">
        <v>225.47</v>
      </c>
      <c r="Y52" s="10">
        <v>220.32</v>
      </c>
      <c r="Z52" s="10">
        <v>222.53</v>
      </c>
      <c r="AA52" s="10">
        <v>222.53</v>
      </c>
      <c r="AB52" s="10">
        <v>321.62</v>
      </c>
      <c r="AC52" s="10">
        <v>486.06</v>
      </c>
      <c r="AD52" s="10">
        <v>192.47</v>
      </c>
      <c r="AE52" s="10">
        <v>205.23</v>
      </c>
      <c r="AF52" s="10">
        <v>100.33</v>
      </c>
      <c r="AG52" s="10">
        <v>191.64</v>
      </c>
      <c r="AH52" s="10">
        <v>205.23</v>
      </c>
      <c r="AI52" s="10">
        <v>310.19</v>
      </c>
      <c r="AJ52" s="10">
        <v>161.99</v>
      </c>
      <c r="AK52" s="10">
        <v>150.53</v>
      </c>
      <c r="AL52" s="10">
        <v>0</v>
      </c>
      <c r="AM52" s="10">
        <v>306.07</v>
      </c>
      <c r="AN52" s="10">
        <v>155.56</v>
      </c>
      <c r="AO52" s="10">
        <v>155.06</v>
      </c>
      <c r="AP52" s="10">
        <v>155.11000000000001</v>
      </c>
      <c r="AQ52" s="10">
        <v>0</v>
      </c>
      <c r="AR52" s="10">
        <v>455.12</v>
      </c>
      <c r="AS52" s="10">
        <v>173.75</v>
      </c>
      <c r="AT52" s="10">
        <v>0</v>
      </c>
      <c r="AU52" s="10">
        <v>357.12</v>
      </c>
      <c r="AV52" s="10">
        <v>165.73</v>
      </c>
      <c r="AW52" s="10">
        <v>165.16</v>
      </c>
      <c r="AX52" s="10">
        <v>164.61</v>
      </c>
      <c r="AY52" s="10">
        <v>319.11</v>
      </c>
      <c r="AZ52" s="10">
        <v>146.32</v>
      </c>
      <c r="BA52" s="10">
        <v>140.91</v>
      </c>
      <c r="BB52" s="10">
        <v>140.91</v>
      </c>
      <c r="BC52" s="10">
        <v>140.91</v>
      </c>
      <c r="BD52" s="10">
        <v>233.44</v>
      </c>
      <c r="BE52" s="10">
        <v>1637.72</v>
      </c>
      <c r="BF52" s="10">
        <v>202.27</v>
      </c>
      <c r="BG52" s="10">
        <v>147.27000000000001</v>
      </c>
      <c r="BH52" s="10">
        <v>147.27000000000001</v>
      </c>
      <c r="BI52" s="10">
        <v>257.27</v>
      </c>
      <c r="BJ52" s="10">
        <v>37.270000000000003</v>
      </c>
      <c r="BK52" s="10">
        <v>147.27000000000001</v>
      </c>
      <c r="BL52" s="10">
        <v>147.27000000000001</v>
      </c>
      <c r="BM52" s="10">
        <v>147.27000000000001</v>
      </c>
      <c r="BN52" s="10">
        <v>147.27000000000001</v>
      </c>
      <c r="BO52" s="10">
        <v>147.27000000000001</v>
      </c>
      <c r="BP52" s="10">
        <v>660.91</v>
      </c>
      <c r="BQ52" s="10">
        <v>208.58</v>
      </c>
      <c r="BR52" s="10">
        <v>197.27</v>
      </c>
      <c r="BS52" s="10">
        <v>288.18</v>
      </c>
      <c r="BT52" s="10">
        <v>288.18</v>
      </c>
      <c r="BU52" s="10">
        <v>288.18</v>
      </c>
      <c r="BV52" s="10">
        <v>288.18</v>
      </c>
      <c r="BW52" s="10">
        <v>288.18</v>
      </c>
      <c r="BX52" s="10">
        <v>306.66000000000003</v>
      </c>
      <c r="BY52" s="10">
        <v>297.27</v>
      </c>
      <c r="BZ52" s="10">
        <v>297.27</v>
      </c>
      <c r="CA52" s="10">
        <v>297.27</v>
      </c>
    </row>
    <row r="53" spans="1:79" x14ac:dyDescent="0.3">
      <c r="A53" s="9" t="s">
        <v>130</v>
      </c>
      <c r="B53" s="10">
        <v>0</v>
      </c>
      <c r="C53" s="10">
        <v>0</v>
      </c>
      <c r="D53" s="10">
        <v>0</v>
      </c>
      <c r="E53" s="10">
        <v>0</v>
      </c>
      <c r="F53" s="10">
        <v>263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19</v>
      </c>
      <c r="Q53" s="10">
        <v>0</v>
      </c>
      <c r="R53" s="10">
        <v>0</v>
      </c>
      <c r="S53" s="10">
        <v>0</v>
      </c>
      <c r="T53" s="10">
        <v>267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273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276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290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10</v>
      </c>
      <c r="BO53" s="10">
        <v>0</v>
      </c>
      <c r="BP53" s="10">
        <v>406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321</v>
      </c>
    </row>
    <row r="54" spans="1:79" x14ac:dyDescent="0.3">
      <c r="A54" s="9" t="s">
        <v>131</v>
      </c>
      <c r="B54" s="10">
        <v>1460.91</v>
      </c>
      <c r="C54" s="10">
        <v>18.14</v>
      </c>
      <c r="D54" s="10">
        <v>67.55</v>
      </c>
      <c r="E54" s="10">
        <v>95.65</v>
      </c>
      <c r="F54" s="10">
        <v>48.7</v>
      </c>
      <c r="G54" s="10">
        <v>454.55</v>
      </c>
      <c r="H54" s="10">
        <v>27.27</v>
      </c>
      <c r="I54" s="10">
        <v>749.43</v>
      </c>
      <c r="J54" s="10">
        <v>111.41</v>
      </c>
      <c r="K54" s="10">
        <v>35.26</v>
      </c>
      <c r="L54" s="10">
        <v>0</v>
      </c>
      <c r="M54" s="10">
        <v>63.59</v>
      </c>
      <c r="N54" s="10">
        <v>0</v>
      </c>
      <c r="O54" s="10">
        <v>141.72</v>
      </c>
      <c r="P54" s="10">
        <v>1132.81</v>
      </c>
      <c r="Q54" s="10">
        <v>194.91</v>
      </c>
      <c r="R54" s="10">
        <v>670</v>
      </c>
      <c r="S54" s="10">
        <v>128.55000000000001</v>
      </c>
      <c r="T54" s="10">
        <v>110</v>
      </c>
      <c r="U54" s="10">
        <v>0</v>
      </c>
      <c r="V54" s="10">
        <v>96.57</v>
      </c>
      <c r="W54" s="10">
        <v>135</v>
      </c>
      <c r="X54" s="10">
        <v>117.48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17.96</v>
      </c>
      <c r="AE54" s="10">
        <v>0</v>
      </c>
      <c r="AF54" s="10">
        <v>0</v>
      </c>
      <c r="AG54" s="10">
        <v>240</v>
      </c>
      <c r="AH54" s="10">
        <v>0</v>
      </c>
      <c r="AI54" s="10">
        <v>87.66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102.76</v>
      </c>
      <c r="AY54" s="10">
        <v>0</v>
      </c>
      <c r="AZ54" s="10">
        <v>0</v>
      </c>
      <c r="BA54" s="10">
        <v>0</v>
      </c>
      <c r="BB54" s="10">
        <v>15.36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350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690</v>
      </c>
      <c r="BQ54" s="10">
        <v>0</v>
      </c>
      <c r="BR54" s="10">
        <v>0</v>
      </c>
      <c r="BS54" s="10">
        <v>0</v>
      </c>
      <c r="BT54" s="10">
        <v>0</v>
      </c>
      <c r="BU54" s="10">
        <v>551.65</v>
      </c>
      <c r="BV54" s="10">
        <v>6305.06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</row>
    <row r="55" spans="1:79" x14ac:dyDescent="0.3">
      <c r="A55" s="9" t="s">
        <v>132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613.64</v>
      </c>
      <c r="U55" s="10">
        <v>595.45000000000005</v>
      </c>
      <c r="V55" s="10">
        <v>486.36</v>
      </c>
      <c r="W55" s="10">
        <v>486.36</v>
      </c>
      <c r="X55" s="10">
        <v>359.09</v>
      </c>
      <c r="Y55" s="10">
        <v>359.09</v>
      </c>
      <c r="Z55" s="10">
        <v>359.09</v>
      </c>
      <c r="AA55" s="10">
        <v>618.17999999999995</v>
      </c>
      <c r="AB55" s="10">
        <v>459.09</v>
      </c>
      <c r="AC55" s="10">
        <v>459.09</v>
      </c>
      <c r="AD55" s="10">
        <v>1802.73</v>
      </c>
      <c r="AE55" s="10">
        <v>1802.73</v>
      </c>
      <c r="AF55" s="10">
        <v>1802.73</v>
      </c>
      <c r="AG55" s="10">
        <v>1802.73</v>
      </c>
      <c r="AH55" s="10">
        <v>1272.73</v>
      </c>
      <c r="AI55" s="10">
        <v>1272.73</v>
      </c>
      <c r="AJ55" s="10">
        <v>1272.73</v>
      </c>
      <c r="AK55" s="10">
        <v>1272.73</v>
      </c>
      <c r="AL55" s="10">
        <v>1272.73</v>
      </c>
      <c r="AM55" s="10">
        <v>1272.73</v>
      </c>
      <c r="AN55" s="10">
        <v>1272.73</v>
      </c>
      <c r="AO55" s="10">
        <v>1272.73</v>
      </c>
      <c r="AP55" s="10">
        <v>1272.73</v>
      </c>
      <c r="AQ55" s="10">
        <v>1272.73</v>
      </c>
      <c r="AR55" s="10">
        <v>1272.73</v>
      </c>
      <c r="AS55" s="10">
        <v>1272.73</v>
      </c>
      <c r="AT55" s="10">
        <v>1272.73</v>
      </c>
      <c r="AU55" s="10">
        <v>1272.73</v>
      </c>
      <c r="AV55" s="10">
        <v>897.27</v>
      </c>
      <c r="AW55" s="10">
        <v>988.18</v>
      </c>
      <c r="AX55" s="10">
        <v>1190</v>
      </c>
      <c r="AY55" s="10">
        <v>1190</v>
      </c>
      <c r="AZ55" s="10">
        <v>1826.36</v>
      </c>
      <c r="BA55" s="10">
        <v>1190</v>
      </c>
      <c r="BB55" s="10">
        <v>1190</v>
      </c>
      <c r="BC55" s="10">
        <v>1190</v>
      </c>
      <c r="BD55" s="10">
        <v>1190</v>
      </c>
      <c r="BE55" s="10">
        <v>1590</v>
      </c>
      <c r="BF55" s="10">
        <v>1604.55</v>
      </c>
      <c r="BG55" s="10">
        <v>1204.55</v>
      </c>
      <c r="BH55" s="10">
        <v>1204.55</v>
      </c>
      <c r="BI55" s="10">
        <v>1204.55</v>
      </c>
      <c r="BJ55" s="10">
        <v>1204.55</v>
      </c>
      <c r="BK55" s="10">
        <v>1204.55</v>
      </c>
      <c r="BL55" s="10">
        <v>1368.19</v>
      </c>
      <c r="BM55" s="10">
        <v>1204.55</v>
      </c>
      <c r="BN55" s="10">
        <v>1204.55</v>
      </c>
      <c r="BO55" s="10">
        <v>1204.55</v>
      </c>
      <c r="BP55" s="10">
        <v>1222.73</v>
      </c>
      <c r="BQ55" s="10">
        <v>1222.73</v>
      </c>
      <c r="BR55" s="10">
        <v>1222.73</v>
      </c>
      <c r="BS55" s="10">
        <v>1222.73</v>
      </c>
      <c r="BT55" s="10">
        <v>1222.73</v>
      </c>
      <c r="BU55" s="10">
        <v>1222.73</v>
      </c>
      <c r="BV55" s="10">
        <v>1222.73</v>
      </c>
      <c r="BW55" s="10">
        <v>1222.73</v>
      </c>
      <c r="BX55" s="10">
        <v>1222.73</v>
      </c>
      <c r="BY55" s="10">
        <v>1222.73</v>
      </c>
      <c r="BZ55" s="10">
        <v>1222.73</v>
      </c>
      <c r="CA55" s="10">
        <v>1354.55</v>
      </c>
    </row>
    <row r="56" spans="1:79" x14ac:dyDescent="0.3">
      <c r="A56" s="9" t="s">
        <v>133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286.10000000000002</v>
      </c>
      <c r="I56" s="10">
        <v>24.73</v>
      </c>
      <c r="J56" s="10">
        <v>0</v>
      </c>
      <c r="K56" s="10">
        <v>0</v>
      </c>
      <c r="L56" s="10">
        <v>83</v>
      </c>
      <c r="M56" s="10">
        <v>0</v>
      </c>
      <c r="N56" s="10">
        <v>165</v>
      </c>
      <c r="O56" s="10">
        <v>0</v>
      </c>
      <c r="P56" s="10">
        <v>0</v>
      </c>
      <c r="Q56" s="10">
        <v>190.8</v>
      </c>
      <c r="R56" s="10">
        <v>0</v>
      </c>
      <c r="S56" s="10">
        <v>83</v>
      </c>
      <c r="T56" s="10">
        <v>0</v>
      </c>
      <c r="U56" s="10">
        <v>217.6</v>
      </c>
      <c r="V56" s="10">
        <v>108.8</v>
      </c>
      <c r="W56" s="10">
        <v>1933.59</v>
      </c>
      <c r="X56" s="10">
        <v>166</v>
      </c>
      <c r="Y56" s="10">
        <v>0</v>
      </c>
      <c r="Z56" s="10">
        <v>0</v>
      </c>
      <c r="AA56" s="10">
        <v>0</v>
      </c>
      <c r="AB56" s="10">
        <v>98.91</v>
      </c>
      <c r="AC56" s="10">
        <v>-107.5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182</v>
      </c>
      <c r="AK56" s="10">
        <v>390.2</v>
      </c>
      <c r="AL56" s="10">
        <v>0</v>
      </c>
      <c r="AM56" s="10">
        <v>0</v>
      </c>
      <c r="AN56" s="10">
        <v>0</v>
      </c>
      <c r="AO56" s="10">
        <v>0</v>
      </c>
      <c r="AP56" s="10">
        <v>363</v>
      </c>
      <c r="AQ56" s="10">
        <v>227</v>
      </c>
      <c r="AR56" s="10">
        <v>109</v>
      </c>
      <c r="AS56" s="10">
        <v>0</v>
      </c>
      <c r="AT56" s="10">
        <v>185</v>
      </c>
      <c r="AU56" s="10">
        <v>0</v>
      </c>
      <c r="AV56" s="10">
        <v>0</v>
      </c>
      <c r="AW56" s="10">
        <v>0</v>
      </c>
      <c r="AX56" s="10">
        <v>185</v>
      </c>
      <c r="AY56" s="10">
        <v>185</v>
      </c>
      <c r="AZ56" s="10">
        <v>0</v>
      </c>
      <c r="BA56" s="10">
        <v>0</v>
      </c>
      <c r="BB56" s="10">
        <v>0</v>
      </c>
      <c r="BC56" s="10">
        <v>203</v>
      </c>
      <c r="BD56" s="10">
        <v>111</v>
      </c>
      <c r="BE56" s="10">
        <v>0</v>
      </c>
      <c r="BF56" s="10">
        <v>0</v>
      </c>
      <c r="BG56" s="10">
        <v>147.9</v>
      </c>
      <c r="BH56" s="10">
        <v>219.7</v>
      </c>
      <c r="BI56" s="10">
        <v>0</v>
      </c>
      <c r="BJ56" s="10">
        <v>219.7</v>
      </c>
      <c r="BK56" s="10">
        <v>0</v>
      </c>
      <c r="BL56" s="10">
        <v>37.9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99</v>
      </c>
      <c r="BS56" s="10">
        <v>198</v>
      </c>
      <c r="BT56" s="10">
        <v>198</v>
      </c>
      <c r="BU56" s="10">
        <v>0</v>
      </c>
      <c r="BV56" s="10">
        <v>127.4</v>
      </c>
      <c r="BW56" s="10">
        <v>0</v>
      </c>
      <c r="BX56" s="10">
        <v>198</v>
      </c>
      <c r="BY56" s="10">
        <v>0</v>
      </c>
      <c r="BZ56" s="10">
        <v>0</v>
      </c>
      <c r="CA56" s="10">
        <v>131.91</v>
      </c>
    </row>
    <row r="57" spans="1:79" x14ac:dyDescent="0.3">
      <c r="A57" s="9" t="s">
        <v>134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100</v>
      </c>
      <c r="N57" s="10">
        <v>0</v>
      </c>
      <c r="O57" s="10">
        <v>250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300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160</v>
      </c>
      <c r="AE57" s="10">
        <v>0</v>
      </c>
      <c r="AF57" s="10">
        <v>0</v>
      </c>
      <c r="AG57" s="10">
        <v>500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104.13</v>
      </c>
      <c r="AP57" s="10">
        <v>0</v>
      </c>
      <c r="AQ57" s="10">
        <v>0</v>
      </c>
      <c r="AR57" s="10">
        <v>0</v>
      </c>
      <c r="AS57" s="10">
        <v>250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</row>
    <row r="58" spans="1:79" x14ac:dyDescent="0.3">
      <c r="A58" s="11" t="s">
        <v>135</v>
      </c>
      <c r="B58" s="6">
        <f t="shared" ref="B58:AG58" si="24">SUM(B48:B57)</f>
        <v>1806.89</v>
      </c>
      <c r="C58" s="6">
        <f t="shared" si="24"/>
        <v>845.13</v>
      </c>
      <c r="D58" s="6">
        <f t="shared" si="24"/>
        <v>639.79999999999995</v>
      </c>
      <c r="E58" s="6">
        <f t="shared" si="24"/>
        <v>1056.8600000000001</v>
      </c>
      <c r="F58" s="6">
        <f t="shared" si="24"/>
        <v>1346.79</v>
      </c>
      <c r="G58" s="6">
        <f t="shared" si="24"/>
        <v>1469.34</v>
      </c>
      <c r="H58" s="6">
        <f t="shared" si="24"/>
        <v>3285.1800000000003</v>
      </c>
      <c r="I58" s="6">
        <f t="shared" si="24"/>
        <v>1373</v>
      </c>
      <c r="J58" s="6">
        <f t="shared" si="24"/>
        <v>2966.0299999999997</v>
      </c>
      <c r="K58" s="6">
        <f t="shared" si="24"/>
        <v>1875.25</v>
      </c>
      <c r="L58" s="6">
        <f t="shared" si="24"/>
        <v>906.98</v>
      </c>
      <c r="M58" s="6">
        <f t="shared" si="24"/>
        <v>1797</v>
      </c>
      <c r="N58" s="6">
        <f t="shared" si="24"/>
        <v>2084.79</v>
      </c>
      <c r="O58" s="6">
        <f t="shared" si="24"/>
        <v>649.26</v>
      </c>
      <c r="P58" s="6">
        <f t="shared" si="24"/>
        <v>2426.2399999999998</v>
      </c>
      <c r="Q58" s="6">
        <f t="shared" si="24"/>
        <v>1266.1399999999999</v>
      </c>
      <c r="R58" s="6">
        <f t="shared" si="24"/>
        <v>2448.5699999999997</v>
      </c>
      <c r="S58" s="6">
        <f t="shared" si="24"/>
        <v>1022.6599999999999</v>
      </c>
      <c r="T58" s="6">
        <f t="shared" si="24"/>
        <v>5843.9900000000007</v>
      </c>
      <c r="U58" s="6">
        <f t="shared" si="24"/>
        <v>1999.77</v>
      </c>
      <c r="V58" s="6">
        <f t="shared" si="24"/>
        <v>1499.1699999999998</v>
      </c>
      <c r="W58" s="6">
        <f t="shared" si="24"/>
        <v>3763.96</v>
      </c>
      <c r="X58" s="6">
        <f t="shared" si="24"/>
        <v>3018.54</v>
      </c>
      <c r="Y58" s="6">
        <f t="shared" si="24"/>
        <v>1191.4499999999998</v>
      </c>
      <c r="Z58" s="6">
        <f t="shared" si="24"/>
        <v>1527.6699999999998</v>
      </c>
      <c r="AA58" s="6">
        <f t="shared" si="24"/>
        <v>1946.3600000000001</v>
      </c>
      <c r="AB58" s="6">
        <f t="shared" si="24"/>
        <v>1517.22</v>
      </c>
      <c r="AC58" s="6">
        <f t="shared" si="24"/>
        <v>2767</v>
      </c>
      <c r="AD58" s="6">
        <f t="shared" si="24"/>
        <v>4044.19</v>
      </c>
      <c r="AE58" s="6">
        <f t="shared" si="24"/>
        <v>3168.37</v>
      </c>
      <c r="AF58" s="6">
        <f t="shared" si="24"/>
        <v>2571.0100000000002</v>
      </c>
      <c r="AG58" s="6">
        <f t="shared" si="24"/>
        <v>3512.94</v>
      </c>
      <c r="AH58" s="6">
        <f t="shared" ref="AH58:BM58" si="25">SUM(AH48:AH57)</f>
        <v>2157.9300000000003</v>
      </c>
      <c r="AI58" s="6">
        <f t="shared" si="25"/>
        <v>2301.44</v>
      </c>
      <c r="AJ58" s="6">
        <f t="shared" si="25"/>
        <v>2357.21</v>
      </c>
      <c r="AK58" s="6">
        <f t="shared" si="25"/>
        <v>2785.0899999999997</v>
      </c>
      <c r="AL58" s="6">
        <f t="shared" si="25"/>
        <v>3011.04</v>
      </c>
      <c r="AM58" s="6">
        <f t="shared" si="25"/>
        <v>2272.65</v>
      </c>
      <c r="AN58" s="6">
        <f t="shared" si="25"/>
        <v>2084.1999999999998</v>
      </c>
      <c r="AO58" s="6">
        <f t="shared" si="25"/>
        <v>2343.08</v>
      </c>
      <c r="AP58" s="6">
        <f t="shared" si="25"/>
        <v>3189.92</v>
      </c>
      <c r="AQ58" s="6">
        <f t="shared" si="25"/>
        <v>2339.38</v>
      </c>
      <c r="AR58" s="6">
        <f t="shared" si="25"/>
        <v>2486.44</v>
      </c>
      <c r="AS58" s="6">
        <f t="shared" si="25"/>
        <v>2372.0299999999997</v>
      </c>
      <c r="AT58" s="6">
        <f t="shared" si="25"/>
        <v>3018</v>
      </c>
      <c r="AU58" s="6">
        <f t="shared" si="25"/>
        <v>2183.46</v>
      </c>
      <c r="AV58" s="6">
        <f t="shared" si="25"/>
        <v>1390.99</v>
      </c>
      <c r="AW58" s="6">
        <f t="shared" si="25"/>
        <v>1549.4</v>
      </c>
      <c r="AX58" s="6">
        <f t="shared" si="25"/>
        <v>2610.67</v>
      </c>
      <c r="AY58" s="6">
        <f t="shared" si="25"/>
        <v>2980.36</v>
      </c>
      <c r="AZ58" s="6">
        <f t="shared" si="25"/>
        <v>5086.95</v>
      </c>
      <c r="BA58" s="6">
        <f t="shared" si="25"/>
        <v>3620.3999999999996</v>
      </c>
      <c r="BB58" s="6">
        <f t="shared" si="25"/>
        <v>7206.14</v>
      </c>
      <c r="BC58" s="6">
        <f t="shared" si="25"/>
        <v>6103.8200000000006</v>
      </c>
      <c r="BD58" s="6">
        <f t="shared" si="25"/>
        <v>3304.66</v>
      </c>
      <c r="BE58" s="6">
        <f t="shared" si="25"/>
        <v>10348.09</v>
      </c>
      <c r="BF58" s="6">
        <f t="shared" si="25"/>
        <v>6835.37</v>
      </c>
      <c r="BG58" s="6">
        <f t="shared" si="25"/>
        <v>10404.369999999999</v>
      </c>
      <c r="BH58" s="6">
        <f t="shared" si="25"/>
        <v>5646.91</v>
      </c>
      <c r="BI58" s="6">
        <f t="shared" si="25"/>
        <v>8118.14</v>
      </c>
      <c r="BJ58" s="6">
        <f t="shared" si="25"/>
        <v>-992.79999999999973</v>
      </c>
      <c r="BK58" s="6">
        <f t="shared" si="25"/>
        <v>8939.2800000000007</v>
      </c>
      <c r="BL58" s="6">
        <f t="shared" si="25"/>
        <v>7835.49</v>
      </c>
      <c r="BM58" s="6">
        <f t="shared" si="25"/>
        <v>4707.67</v>
      </c>
      <c r="BN58" s="6">
        <f t="shared" ref="BN58:CA58" si="26">SUM(BN48:BN57)</f>
        <v>-1145.5999999999997</v>
      </c>
      <c r="BO58" s="6">
        <f t="shared" si="26"/>
        <v>4783.84</v>
      </c>
      <c r="BP58" s="6">
        <f t="shared" si="26"/>
        <v>7927.3099999999995</v>
      </c>
      <c r="BQ58" s="6">
        <f t="shared" si="26"/>
        <v>5496.74</v>
      </c>
      <c r="BR58" s="6">
        <f t="shared" si="26"/>
        <v>4041.54</v>
      </c>
      <c r="BS58" s="6">
        <f t="shared" si="26"/>
        <v>4866.33</v>
      </c>
      <c r="BT58" s="6">
        <f t="shared" si="26"/>
        <v>5082.8</v>
      </c>
      <c r="BU58" s="6">
        <f t="shared" si="26"/>
        <v>4420.91</v>
      </c>
      <c r="BV58" s="6">
        <f t="shared" si="26"/>
        <v>12424.660000000002</v>
      </c>
      <c r="BW58" s="6">
        <f t="shared" si="26"/>
        <v>3764.54</v>
      </c>
      <c r="BX58" s="6">
        <f t="shared" si="26"/>
        <v>11486.84</v>
      </c>
      <c r="BY58" s="6">
        <f t="shared" si="26"/>
        <v>4875.55</v>
      </c>
      <c r="BZ58" s="6">
        <f t="shared" si="26"/>
        <v>5053.97</v>
      </c>
      <c r="CA58" s="6">
        <f t="shared" si="26"/>
        <v>5279.2699999999995</v>
      </c>
    </row>
    <row r="59" spans="1:79" x14ac:dyDescent="0.3">
      <c r="A59" s="7" t="s">
        <v>136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79" x14ac:dyDescent="0.3">
      <c r="A60" s="9" t="s">
        <v>137</v>
      </c>
      <c r="B60" s="10">
        <v>2300</v>
      </c>
      <c r="C60" s="10">
        <v>0</v>
      </c>
      <c r="D60" s="10">
        <v>0</v>
      </c>
      <c r="E60" s="10">
        <v>0</v>
      </c>
      <c r="F60" s="10">
        <v>300</v>
      </c>
      <c r="G60" s="10">
        <v>0</v>
      </c>
      <c r="H60" s="10">
        <v>359.09</v>
      </c>
      <c r="I60" s="10">
        <v>359.09</v>
      </c>
      <c r="J60" s="10">
        <v>359.09</v>
      </c>
      <c r="K60" s="10">
        <v>1859.09</v>
      </c>
      <c r="L60" s="10">
        <v>359.09</v>
      </c>
      <c r="M60" s="10">
        <v>359.09</v>
      </c>
      <c r="N60" s="10">
        <v>359.09</v>
      </c>
      <c r="O60" s="10">
        <v>2059.09</v>
      </c>
      <c r="P60" s="10">
        <v>359.09</v>
      </c>
      <c r="Q60" s="10">
        <v>359.09</v>
      </c>
      <c r="R60" s="10">
        <v>679.09</v>
      </c>
      <c r="S60" s="10">
        <v>359.09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2200</v>
      </c>
      <c r="AC60" s="10">
        <v>0</v>
      </c>
      <c r="AD60" s="10">
        <v>320</v>
      </c>
      <c r="AE60" s="10">
        <v>0.94</v>
      </c>
      <c r="AF60" s="10">
        <v>0</v>
      </c>
      <c r="AG60" s="10">
        <v>295</v>
      </c>
      <c r="AH60" s="10">
        <v>295</v>
      </c>
      <c r="AI60" s="10">
        <v>295</v>
      </c>
      <c r="AJ60" s="10">
        <v>295</v>
      </c>
      <c r="AK60" s="10">
        <v>295</v>
      </c>
      <c r="AL60" s="10">
        <v>295</v>
      </c>
      <c r="AM60" s="10">
        <v>295</v>
      </c>
      <c r="AN60" s="10">
        <v>295</v>
      </c>
      <c r="AO60" s="10">
        <v>295</v>
      </c>
      <c r="AP60" s="10">
        <v>2830</v>
      </c>
      <c r="AQ60" s="10">
        <v>295</v>
      </c>
      <c r="AR60" s="10">
        <v>295</v>
      </c>
      <c r="AS60" s="10">
        <v>295</v>
      </c>
      <c r="AT60" s="10">
        <v>295</v>
      </c>
      <c r="AU60" s="10">
        <v>295</v>
      </c>
      <c r="AV60" s="10">
        <v>295</v>
      </c>
      <c r="AW60" s="10">
        <v>295</v>
      </c>
      <c r="AX60" s="10">
        <v>295</v>
      </c>
      <c r="AY60" s="10">
        <v>3445</v>
      </c>
      <c r="AZ60" s="10">
        <v>295</v>
      </c>
      <c r="BA60" s="10">
        <v>295</v>
      </c>
      <c r="BB60" s="10">
        <v>645</v>
      </c>
      <c r="BC60" s="10">
        <v>295</v>
      </c>
      <c r="BD60" s="10">
        <v>295</v>
      </c>
      <c r="BE60" s="10">
        <v>3595</v>
      </c>
      <c r="BF60" s="10">
        <v>295</v>
      </c>
      <c r="BG60" s="10">
        <v>835</v>
      </c>
      <c r="BH60" s="10">
        <v>295</v>
      </c>
      <c r="BI60" s="10">
        <v>295</v>
      </c>
      <c r="BJ60" s="10">
        <v>295</v>
      </c>
      <c r="BK60" s="10">
        <v>3795</v>
      </c>
      <c r="BL60" s="10">
        <v>295</v>
      </c>
      <c r="BM60" s="10">
        <v>295</v>
      </c>
      <c r="BN60" s="10">
        <v>655</v>
      </c>
      <c r="BO60" s="10">
        <v>5195</v>
      </c>
      <c r="BP60" s="10">
        <v>295</v>
      </c>
      <c r="BQ60" s="10">
        <v>295</v>
      </c>
      <c r="BR60" s="10">
        <v>295</v>
      </c>
      <c r="BS60" s="10">
        <v>295</v>
      </c>
      <c r="BT60" s="10">
        <v>295</v>
      </c>
      <c r="BU60" s="10">
        <v>295</v>
      </c>
      <c r="BV60" s="10">
        <v>295</v>
      </c>
      <c r="BW60" s="10">
        <v>295</v>
      </c>
      <c r="BX60" s="10">
        <v>295</v>
      </c>
      <c r="BY60" s="10">
        <v>13000</v>
      </c>
      <c r="BZ60" s="10">
        <v>20380</v>
      </c>
      <c r="CA60" s="10">
        <v>0</v>
      </c>
    </row>
    <row r="61" spans="1:79" x14ac:dyDescent="0.3">
      <c r="A61" s="9" t="s">
        <v>138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1141.54</v>
      </c>
      <c r="P61" s="10">
        <v>528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434</v>
      </c>
      <c r="X61" s="10">
        <v>0</v>
      </c>
      <c r="Y61" s="10">
        <v>285.08999999999997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400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2423</v>
      </c>
      <c r="AY61" s="10">
        <v>0</v>
      </c>
      <c r="AZ61" s="10">
        <v>1557.5</v>
      </c>
      <c r="BA61" s="10">
        <v>-3980.5</v>
      </c>
      <c r="BB61" s="10">
        <v>740</v>
      </c>
      <c r="BC61" s="10">
        <v>0</v>
      </c>
      <c r="BD61" s="10">
        <v>0</v>
      </c>
      <c r="BE61" s="10">
        <v>2032.61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1495</v>
      </c>
      <c r="CA61" s="10">
        <v>0</v>
      </c>
    </row>
    <row r="62" spans="1:79" x14ac:dyDescent="0.3">
      <c r="A62" s="9" t="s">
        <v>139</v>
      </c>
      <c r="B62" s="10">
        <v>1250</v>
      </c>
      <c r="C62" s="10">
        <v>1000</v>
      </c>
      <c r="D62" s="10">
        <v>1000</v>
      </c>
      <c r="E62" s="10">
        <v>1000</v>
      </c>
      <c r="F62" s="10">
        <v>1250</v>
      </c>
      <c r="G62" s="10">
        <v>1000</v>
      </c>
      <c r="H62" s="10">
        <v>1000</v>
      </c>
      <c r="I62" s="10">
        <v>1000</v>
      </c>
      <c r="J62" s="10">
        <v>1000</v>
      </c>
      <c r="K62" s="10">
        <v>1250</v>
      </c>
      <c r="L62" s="10">
        <v>1000</v>
      </c>
      <c r="M62" s="10">
        <v>1000</v>
      </c>
      <c r="N62" s="10">
        <v>1250</v>
      </c>
      <c r="O62" s="10">
        <v>1000</v>
      </c>
      <c r="P62" s="10">
        <v>1000</v>
      </c>
      <c r="Q62" s="10">
        <v>1250</v>
      </c>
      <c r="R62" s="10">
        <v>1000</v>
      </c>
      <c r="S62" s="10">
        <v>1000</v>
      </c>
      <c r="T62" s="10">
        <v>1250</v>
      </c>
      <c r="U62" s="10">
        <v>1000</v>
      </c>
      <c r="V62" s="10">
        <v>1000</v>
      </c>
      <c r="W62" s="10">
        <v>1250</v>
      </c>
      <c r="X62" s="10">
        <v>1000</v>
      </c>
      <c r="Y62" s="10">
        <v>1250</v>
      </c>
      <c r="Z62" s="10">
        <v>1000</v>
      </c>
      <c r="AA62" s="10">
        <v>1000</v>
      </c>
      <c r="AB62" s="10">
        <v>1000</v>
      </c>
      <c r="AC62" s="10">
        <v>1000</v>
      </c>
      <c r="AD62" s="10">
        <v>1000</v>
      </c>
      <c r="AE62" s="10">
        <v>1000</v>
      </c>
      <c r="AF62" s="10">
        <v>1250</v>
      </c>
      <c r="AG62" s="10">
        <v>1000</v>
      </c>
      <c r="AH62" s="10">
        <v>1250</v>
      </c>
      <c r="AI62" s="10">
        <v>1000</v>
      </c>
      <c r="AJ62" s="10">
        <v>1043.45</v>
      </c>
      <c r="AK62" s="10">
        <v>1000</v>
      </c>
      <c r="AL62" s="10">
        <v>1250</v>
      </c>
      <c r="AM62" s="10">
        <v>1000</v>
      </c>
      <c r="AN62" s="10">
        <v>1250</v>
      </c>
      <c r="AO62" s="10">
        <v>1000</v>
      </c>
      <c r="AP62" s="10">
        <v>1000</v>
      </c>
      <c r="AQ62" s="10">
        <v>1000</v>
      </c>
      <c r="AR62" s="10">
        <v>1000</v>
      </c>
      <c r="AS62" s="10">
        <v>1000</v>
      </c>
      <c r="AT62" s="10">
        <v>1250</v>
      </c>
      <c r="AU62" s="10">
        <v>1000</v>
      </c>
      <c r="AV62" s="10">
        <v>1000</v>
      </c>
      <c r="AW62" s="10">
        <v>1250</v>
      </c>
      <c r="AX62" s="10">
        <v>1000</v>
      </c>
      <c r="AY62" s="10">
        <v>1000</v>
      </c>
      <c r="AZ62" s="10">
        <v>1250</v>
      </c>
      <c r="BA62" s="10">
        <v>1000</v>
      </c>
      <c r="BB62" s="10">
        <v>1000</v>
      </c>
      <c r="BC62" s="10">
        <v>1250</v>
      </c>
      <c r="BD62" s="10">
        <v>1000</v>
      </c>
      <c r="BE62" s="10">
        <v>1000</v>
      </c>
      <c r="BF62" s="10">
        <v>1250</v>
      </c>
      <c r="BG62" s="10">
        <v>-526.32000000000005</v>
      </c>
      <c r="BH62" s="10">
        <v>1000</v>
      </c>
      <c r="BI62" s="10">
        <v>1250</v>
      </c>
      <c r="BJ62" s="10">
        <v>1250</v>
      </c>
      <c r="BK62" s="10">
        <v>750</v>
      </c>
      <c r="BL62" s="10">
        <v>0</v>
      </c>
      <c r="BM62" s="10">
        <v>250</v>
      </c>
      <c r="BN62" s="10">
        <v>750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4830.7</v>
      </c>
    </row>
    <row r="63" spans="1:79" x14ac:dyDescent="0.3">
      <c r="A63" s="11" t="s">
        <v>140</v>
      </c>
      <c r="B63" s="6">
        <f t="shared" ref="B63:AG63" si="27">SUM(B60:B62)</f>
        <v>3550</v>
      </c>
      <c r="C63" s="6">
        <f t="shared" si="27"/>
        <v>1000</v>
      </c>
      <c r="D63" s="6">
        <f t="shared" si="27"/>
        <v>1000</v>
      </c>
      <c r="E63" s="6">
        <f t="shared" si="27"/>
        <v>1000</v>
      </c>
      <c r="F63" s="6">
        <f t="shared" si="27"/>
        <v>1550</v>
      </c>
      <c r="G63" s="6">
        <f t="shared" si="27"/>
        <v>1000</v>
      </c>
      <c r="H63" s="6">
        <f t="shared" si="27"/>
        <v>1359.09</v>
      </c>
      <c r="I63" s="6">
        <f t="shared" si="27"/>
        <v>1359.09</v>
      </c>
      <c r="J63" s="6">
        <f t="shared" si="27"/>
        <v>1359.09</v>
      </c>
      <c r="K63" s="6">
        <f t="shared" si="27"/>
        <v>3109.09</v>
      </c>
      <c r="L63" s="6">
        <f t="shared" si="27"/>
        <v>1359.09</v>
      </c>
      <c r="M63" s="6">
        <f t="shared" si="27"/>
        <v>1359.09</v>
      </c>
      <c r="N63" s="6">
        <f t="shared" si="27"/>
        <v>1609.09</v>
      </c>
      <c r="O63" s="6">
        <f t="shared" si="27"/>
        <v>4200.63</v>
      </c>
      <c r="P63" s="6">
        <f t="shared" si="27"/>
        <v>1887.09</v>
      </c>
      <c r="Q63" s="6">
        <f t="shared" si="27"/>
        <v>1609.09</v>
      </c>
      <c r="R63" s="6">
        <f t="shared" si="27"/>
        <v>1679.0900000000001</v>
      </c>
      <c r="S63" s="6">
        <f t="shared" si="27"/>
        <v>1359.09</v>
      </c>
      <c r="T63" s="6">
        <f t="shared" si="27"/>
        <v>1250</v>
      </c>
      <c r="U63" s="6">
        <f t="shared" si="27"/>
        <v>1000</v>
      </c>
      <c r="V63" s="6">
        <f t="shared" si="27"/>
        <v>1000</v>
      </c>
      <c r="W63" s="6">
        <f t="shared" si="27"/>
        <v>1684</v>
      </c>
      <c r="X63" s="6">
        <f t="shared" si="27"/>
        <v>1000</v>
      </c>
      <c r="Y63" s="6">
        <f t="shared" si="27"/>
        <v>1535.09</v>
      </c>
      <c r="Z63" s="6">
        <f t="shared" si="27"/>
        <v>1000</v>
      </c>
      <c r="AA63" s="6">
        <f t="shared" si="27"/>
        <v>1000</v>
      </c>
      <c r="AB63" s="6">
        <f t="shared" si="27"/>
        <v>3200</v>
      </c>
      <c r="AC63" s="6">
        <f t="shared" si="27"/>
        <v>1000</v>
      </c>
      <c r="AD63" s="6">
        <f t="shared" si="27"/>
        <v>1320</v>
      </c>
      <c r="AE63" s="6">
        <f t="shared" si="27"/>
        <v>1000.94</v>
      </c>
      <c r="AF63" s="6">
        <f t="shared" si="27"/>
        <v>1650</v>
      </c>
      <c r="AG63" s="6">
        <f t="shared" si="27"/>
        <v>1295</v>
      </c>
      <c r="AH63" s="6">
        <f t="shared" ref="AH63:BM63" si="28">SUM(AH60:AH62)</f>
        <v>1545</v>
      </c>
      <c r="AI63" s="6">
        <f t="shared" si="28"/>
        <v>1295</v>
      </c>
      <c r="AJ63" s="6">
        <f t="shared" si="28"/>
        <v>1338.45</v>
      </c>
      <c r="AK63" s="6">
        <f t="shared" si="28"/>
        <v>1295</v>
      </c>
      <c r="AL63" s="6">
        <f t="shared" si="28"/>
        <v>1545</v>
      </c>
      <c r="AM63" s="6">
        <f t="shared" si="28"/>
        <v>1295</v>
      </c>
      <c r="AN63" s="6">
        <f t="shared" si="28"/>
        <v>1545</v>
      </c>
      <c r="AO63" s="6">
        <f t="shared" si="28"/>
        <v>1295</v>
      </c>
      <c r="AP63" s="6">
        <f t="shared" si="28"/>
        <v>3830</v>
      </c>
      <c r="AQ63" s="6">
        <f t="shared" si="28"/>
        <v>1295</v>
      </c>
      <c r="AR63" s="6">
        <f t="shared" si="28"/>
        <v>1295</v>
      </c>
      <c r="AS63" s="6">
        <f t="shared" si="28"/>
        <v>1295</v>
      </c>
      <c r="AT63" s="6">
        <f t="shared" si="28"/>
        <v>1545</v>
      </c>
      <c r="AU63" s="6">
        <f t="shared" si="28"/>
        <v>1295</v>
      </c>
      <c r="AV63" s="6">
        <f t="shared" si="28"/>
        <v>1295</v>
      </c>
      <c r="AW63" s="6">
        <f t="shared" si="28"/>
        <v>1545</v>
      </c>
      <c r="AX63" s="6">
        <f t="shared" si="28"/>
        <v>3718</v>
      </c>
      <c r="AY63" s="6">
        <f t="shared" si="28"/>
        <v>4445</v>
      </c>
      <c r="AZ63" s="6">
        <f t="shared" si="28"/>
        <v>3102.5</v>
      </c>
      <c r="BA63" s="6">
        <f t="shared" si="28"/>
        <v>-2685.5</v>
      </c>
      <c r="BB63" s="6">
        <f t="shared" si="28"/>
        <v>2385</v>
      </c>
      <c r="BC63" s="6">
        <f t="shared" si="28"/>
        <v>1545</v>
      </c>
      <c r="BD63" s="6">
        <f t="shared" si="28"/>
        <v>1295</v>
      </c>
      <c r="BE63" s="6">
        <f t="shared" si="28"/>
        <v>6627.61</v>
      </c>
      <c r="BF63" s="6">
        <f t="shared" si="28"/>
        <v>1545</v>
      </c>
      <c r="BG63" s="6">
        <f t="shared" si="28"/>
        <v>308.67999999999995</v>
      </c>
      <c r="BH63" s="6">
        <f t="shared" si="28"/>
        <v>1295</v>
      </c>
      <c r="BI63" s="6">
        <f t="shared" si="28"/>
        <v>1545</v>
      </c>
      <c r="BJ63" s="6">
        <f t="shared" si="28"/>
        <v>1545</v>
      </c>
      <c r="BK63" s="6">
        <f t="shared" si="28"/>
        <v>4545</v>
      </c>
      <c r="BL63" s="6">
        <f t="shared" si="28"/>
        <v>295</v>
      </c>
      <c r="BM63" s="6">
        <f t="shared" si="28"/>
        <v>545</v>
      </c>
      <c r="BN63" s="6">
        <f t="shared" ref="BN63:CA63" si="29">SUM(BN60:BN62)</f>
        <v>1405</v>
      </c>
      <c r="BO63" s="6">
        <f t="shared" si="29"/>
        <v>5195</v>
      </c>
      <c r="BP63" s="6">
        <f t="shared" si="29"/>
        <v>295</v>
      </c>
      <c r="BQ63" s="6">
        <f t="shared" si="29"/>
        <v>295</v>
      </c>
      <c r="BR63" s="6">
        <f t="shared" si="29"/>
        <v>295</v>
      </c>
      <c r="BS63" s="6">
        <f t="shared" si="29"/>
        <v>295</v>
      </c>
      <c r="BT63" s="6">
        <f t="shared" si="29"/>
        <v>295</v>
      </c>
      <c r="BU63" s="6">
        <f t="shared" si="29"/>
        <v>295</v>
      </c>
      <c r="BV63" s="6">
        <f t="shared" si="29"/>
        <v>295</v>
      </c>
      <c r="BW63" s="6">
        <f t="shared" si="29"/>
        <v>295</v>
      </c>
      <c r="BX63" s="6">
        <f t="shared" si="29"/>
        <v>295</v>
      </c>
      <c r="BY63" s="6">
        <f t="shared" si="29"/>
        <v>13000</v>
      </c>
      <c r="BZ63" s="6">
        <f t="shared" si="29"/>
        <v>21875</v>
      </c>
      <c r="CA63" s="6">
        <f t="shared" si="29"/>
        <v>4830.7</v>
      </c>
    </row>
    <row r="64" spans="1:79" x14ac:dyDescent="0.3">
      <c r="A64" s="7" t="s">
        <v>141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</row>
    <row r="65" spans="1:79" x14ac:dyDescent="0.3">
      <c r="A65" s="9" t="s">
        <v>142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20</v>
      </c>
      <c r="J65" s="10">
        <v>0</v>
      </c>
      <c r="K65" s="10">
        <v>0</v>
      </c>
      <c r="L65" s="10">
        <v>5.64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409.98</v>
      </c>
      <c r="S65" s="10">
        <v>61.23</v>
      </c>
      <c r="T65" s="10">
        <v>0</v>
      </c>
      <c r="U65" s="10">
        <v>0</v>
      </c>
      <c r="V65" s="10">
        <v>0</v>
      </c>
      <c r="W65" s="10">
        <v>0</v>
      </c>
      <c r="X65" s="10">
        <v>78.680000000000007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4.3600000000000003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400</v>
      </c>
      <c r="AU65" s="10">
        <v>0</v>
      </c>
      <c r="AV65" s="10">
        <v>300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</row>
    <row r="66" spans="1:79" x14ac:dyDescent="0.3">
      <c r="A66" s="7" t="s">
        <v>143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</row>
    <row r="67" spans="1:79" x14ac:dyDescent="0.3">
      <c r="A67" s="9" t="s">
        <v>144</v>
      </c>
      <c r="B67" s="10">
        <v>3050.53</v>
      </c>
      <c r="C67" s="10">
        <v>548.83000000000004</v>
      </c>
      <c r="D67" s="10">
        <v>7111.14</v>
      </c>
      <c r="E67" s="10">
        <v>0</v>
      </c>
      <c r="F67" s="10">
        <v>0</v>
      </c>
      <c r="G67" s="10">
        <v>3134.81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13850.09</v>
      </c>
      <c r="O67" s="10">
        <v>162.55000000000001</v>
      </c>
      <c r="P67" s="10">
        <v>2293.34</v>
      </c>
      <c r="Q67" s="10">
        <v>-811.43</v>
      </c>
      <c r="R67" s="10">
        <v>164.02</v>
      </c>
      <c r="S67" s="10">
        <v>-322.04000000000002</v>
      </c>
      <c r="T67" s="10">
        <v>164.02</v>
      </c>
      <c r="U67" s="10">
        <v>164.02</v>
      </c>
      <c r="V67" s="10">
        <v>164.02</v>
      </c>
      <c r="W67" s="10">
        <v>164.02</v>
      </c>
      <c r="X67" s="10">
        <v>164.02</v>
      </c>
      <c r="Y67" s="10">
        <v>164.02</v>
      </c>
      <c r="Z67" s="10">
        <v>164.02</v>
      </c>
      <c r="AA67" s="10">
        <v>0</v>
      </c>
      <c r="AB67" s="10">
        <v>8315.8700000000008</v>
      </c>
      <c r="AC67" s="10">
        <v>-5119.8500000000004</v>
      </c>
      <c r="AD67" s="10">
        <v>148.69999999999999</v>
      </c>
      <c r="AE67" s="10">
        <v>2571.0300000000002</v>
      </c>
      <c r="AF67" s="10">
        <v>395.02</v>
      </c>
      <c r="AG67" s="10">
        <v>219.96</v>
      </c>
      <c r="AH67" s="10">
        <v>221.06</v>
      </c>
      <c r="AI67" s="10">
        <v>221.06</v>
      </c>
      <c r="AJ67" s="10">
        <v>221.06</v>
      </c>
      <c r="AK67" s="10">
        <v>221.06</v>
      </c>
      <c r="AL67" s="10">
        <v>221.06</v>
      </c>
      <c r="AM67" s="10">
        <v>221.06</v>
      </c>
      <c r="AN67" s="10">
        <v>221.06</v>
      </c>
      <c r="AO67" s="10">
        <v>2935.34</v>
      </c>
      <c r="AP67" s="10">
        <v>555.35</v>
      </c>
      <c r="AQ67" s="10">
        <v>555.35</v>
      </c>
      <c r="AR67" s="10">
        <v>555.35</v>
      </c>
      <c r="AS67" s="10">
        <v>555.35</v>
      </c>
      <c r="AT67" s="10">
        <v>911.66</v>
      </c>
      <c r="AU67" s="10">
        <v>555.35</v>
      </c>
      <c r="AV67" s="10">
        <v>555.35</v>
      </c>
      <c r="AW67" s="10">
        <v>555.35</v>
      </c>
      <c r="AX67" s="10">
        <v>555.35</v>
      </c>
      <c r="AY67" s="10">
        <v>221.06</v>
      </c>
      <c r="AZ67" s="10">
        <v>8741.39</v>
      </c>
      <c r="BA67" s="10">
        <v>0</v>
      </c>
      <c r="BB67" s="10">
        <v>0</v>
      </c>
      <c r="BC67" s="10">
        <v>-1150</v>
      </c>
      <c r="BD67" s="10">
        <v>1691.61</v>
      </c>
      <c r="BE67" s="10">
        <v>0</v>
      </c>
      <c r="BF67" s="10">
        <v>2342.6799999999998</v>
      </c>
      <c r="BG67" s="10">
        <v>0</v>
      </c>
      <c r="BH67" s="10">
        <v>2784.21</v>
      </c>
      <c r="BI67" s="10">
        <v>0</v>
      </c>
      <c r="BJ67" s="10">
        <v>0</v>
      </c>
      <c r="BK67" s="10">
        <v>0</v>
      </c>
      <c r="BL67" s="10">
        <v>12030.82</v>
      </c>
      <c r="BM67" s="10">
        <v>0</v>
      </c>
      <c r="BN67" s="10">
        <v>1301.06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2644.46</v>
      </c>
      <c r="BY67" s="10">
        <v>0</v>
      </c>
      <c r="BZ67" s="10">
        <v>0</v>
      </c>
      <c r="CA67" s="10">
        <v>0</v>
      </c>
    </row>
    <row r="68" spans="1:79" x14ac:dyDescent="0.3">
      <c r="A68" s="9" t="s">
        <v>145</v>
      </c>
      <c r="B68" s="10">
        <v>466.99</v>
      </c>
      <c r="C68" s="10">
        <v>309.27999999999997</v>
      </c>
      <c r="D68" s="10">
        <v>309.27999999999997</v>
      </c>
      <c r="E68" s="10">
        <v>309.27999999999997</v>
      </c>
      <c r="F68" s="10">
        <v>309.27999999999997</v>
      </c>
      <c r="G68" s="10">
        <v>309.27999999999997</v>
      </c>
      <c r="H68" s="10">
        <v>309.27999999999997</v>
      </c>
      <c r="I68" s="10">
        <v>309.27999999999997</v>
      </c>
      <c r="J68" s="10">
        <v>309.27999999999997</v>
      </c>
      <c r="K68" s="10">
        <v>309.27999999999997</v>
      </c>
      <c r="L68" s="10">
        <v>309.27999999999997</v>
      </c>
      <c r="M68" s="10">
        <v>309.27999999999997</v>
      </c>
      <c r="N68" s="10">
        <v>358.49</v>
      </c>
      <c r="O68" s="10">
        <v>358.39</v>
      </c>
      <c r="P68" s="10">
        <v>358.39</v>
      </c>
      <c r="Q68" s="10">
        <v>358.39</v>
      </c>
      <c r="R68" s="10">
        <v>358.39</v>
      </c>
      <c r="S68" s="10">
        <v>358.39</v>
      </c>
      <c r="T68" s="10">
        <v>358.39</v>
      </c>
      <c r="U68" s="10">
        <v>358.39</v>
      </c>
      <c r="V68" s="10">
        <v>358.39</v>
      </c>
      <c r="W68" s="10">
        <v>358.39</v>
      </c>
      <c r="X68" s="10">
        <v>358.39</v>
      </c>
      <c r="Y68" s="10">
        <v>358.39</v>
      </c>
      <c r="Z68" s="10">
        <v>377.17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</row>
    <row r="69" spans="1:79" x14ac:dyDescent="0.3">
      <c r="A69" s="11" t="s">
        <v>146</v>
      </c>
      <c r="B69" s="6">
        <f t="shared" ref="B69:AG69" si="30">SUM(B67:B68)</f>
        <v>3517.5200000000004</v>
      </c>
      <c r="C69" s="6">
        <f t="shared" si="30"/>
        <v>858.11</v>
      </c>
      <c r="D69" s="6">
        <f t="shared" si="30"/>
        <v>7420.42</v>
      </c>
      <c r="E69" s="6">
        <f t="shared" si="30"/>
        <v>309.27999999999997</v>
      </c>
      <c r="F69" s="6">
        <f t="shared" si="30"/>
        <v>309.27999999999997</v>
      </c>
      <c r="G69" s="6">
        <f t="shared" si="30"/>
        <v>3444.09</v>
      </c>
      <c r="H69" s="6">
        <f t="shared" si="30"/>
        <v>309.27999999999997</v>
      </c>
      <c r="I69" s="6">
        <f t="shared" si="30"/>
        <v>309.27999999999997</v>
      </c>
      <c r="J69" s="6">
        <f t="shared" si="30"/>
        <v>309.27999999999997</v>
      </c>
      <c r="K69" s="6">
        <f t="shared" si="30"/>
        <v>309.27999999999997</v>
      </c>
      <c r="L69" s="6">
        <f t="shared" si="30"/>
        <v>309.27999999999997</v>
      </c>
      <c r="M69" s="6">
        <f t="shared" si="30"/>
        <v>309.27999999999997</v>
      </c>
      <c r="N69" s="6">
        <f t="shared" si="30"/>
        <v>14208.58</v>
      </c>
      <c r="O69" s="6">
        <f t="shared" si="30"/>
        <v>520.94000000000005</v>
      </c>
      <c r="P69" s="6">
        <f t="shared" si="30"/>
        <v>2651.73</v>
      </c>
      <c r="Q69" s="6">
        <f t="shared" si="30"/>
        <v>-453.03999999999996</v>
      </c>
      <c r="R69" s="6">
        <f t="shared" si="30"/>
        <v>522.41</v>
      </c>
      <c r="S69" s="6">
        <f t="shared" si="30"/>
        <v>36.349999999999966</v>
      </c>
      <c r="T69" s="6">
        <f t="shared" si="30"/>
        <v>522.41</v>
      </c>
      <c r="U69" s="6">
        <f t="shared" si="30"/>
        <v>522.41</v>
      </c>
      <c r="V69" s="6">
        <f t="shared" si="30"/>
        <v>522.41</v>
      </c>
      <c r="W69" s="6">
        <f t="shared" si="30"/>
        <v>522.41</v>
      </c>
      <c r="X69" s="6">
        <f t="shared" si="30"/>
        <v>522.41</v>
      </c>
      <c r="Y69" s="6">
        <f t="shared" si="30"/>
        <v>522.41</v>
      </c>
      <c r="Z69" s="6">
        <f t="shared" si="30"/>
        <v>541.19000000000005</v>
      </c>
      <c r="AA69" s="6">
        <f t="shared" si="30"/>
        <v>0</v>
      </c>
      <c r="AB69" s="6">
        <f t="shared" si="30"/>
        <v>8315.8700000000008</v>
      </c>
      <c r="AC69" s="6">
        <f t="shared" si="30"/>
        <v>-5119.8500000000004</v>
      </c>
      <c r="AD69" s="6">
        <f t="shared" si="30"/>
        <v>148.69999999999999</v>
      </c>
      <c r="AE69" s="6">
        <f t="shared" si="30"/>
        <v>2571.0300000000002</v>
      </c>
      <c r="AF69" s="6">
        <f t="shared" si="30"/>
        <v>395.02</v>
      </c>
      <c r="AG69" s="6">
        <f t="shared" si="30"/>
        <v>219.96</v>
      </c>
      <c r="AH69" s="6">
        <f t="shared" ref="AH69:BM69" si="31">SUM(AH67:AH68)</f>
        <v>221.06</v>
      </c>
      <c r="AI69" s="6">
        <f t="shared" si="31"/>
        <v>221.06</v>
      </c>
      <c r="AJ69" s="6">
        <f t="shared" si="31"/>
        <v>221.06</v>
      </c>
      <c r="AK69" s="6">
        <f t="shared" si="31"/>
        <v>221.06</v>
      </c>
      <c r="AL69" s="6">
        <f t="shared" si="31"/>
        <v>221.06</v>
      </c>
      <c r="AM69" s="6">
        <f t="shared" si="31"/>
        <v>221.06</v>
      </c>
      <c r="AN69" s="6">
        <f t="shared" si="31"/>
        <v>221.06</v>
      </c>
      <c r="AO69" s="6">
        <f t="shared" si="31"/>
        <v>2935.34</v>
      </c>
      <c r="AP69" s="6">
        <f t="shared" si="31"/>
        <v>555.35</v>
      </c>
      <c r="AQ69" s="6">
        <f t="shared" si="31"/>
        <v>555.35</v>
      </c>
      <c r="AR69" s="6">
        <f t="shared" si="31"/>
        <v>555.35</v>
      </c>
      <c r="AS69" s="6">
        <f t="shared" si="31"/>
        <v>555.35</v>
      </c>
      <c r="AT69" s="6">
        <f t="shared" si="31"/>
        <v>911.66</v>
      </c>
      <c r="AU69" s="6">
        <f t="shared" si="31"/>
        <v>555.35</v>
      </c>
      <c r="AV69" s="6">
        <f t="shared" si="31"/>
        <v>555.35</v>
      </c>
      <c r="AW69" s="6">
        <f t="shared" si="31"/>
        <v>555.35</v>
      </c>
      <c r="AX69" s="6">
        <f t="shared" si="31"/>
        <v>555.35</v>
      </c>
      <c r="AY69" s="6">
        <f t="shared" si="31"/>
        <v>221.06</v>
      </c>
      <c r="AZ69" s="6">
        <f t="shared" si="31"/>
        <v>8741.39</v>
      </c>
      <c r="BA69" s="6">
        <f t="shared" si="31"/>
        <v>0</v>
      </c>
      <c r="BB69" s="6">
        <f t="shared" si="31"/>
        <v>0</v>
      </c>
      <c r="BC69" s="6">
        <f t="shared" si="31"/>
        <v>-1150</v>
      </c>
      <c r="BD69" s="6">
        <f t="shared" si="31"/>
        <v>1691.61</v>
      </c>
      <c r="BE69" s="6">
        <f t="shared" si="31"/>
        <v>0</v>
      </c>
      <c r="BF69" s="6">
        <f t="shared" si="31"/>
        <v>2342.6799999999998</v>
      </c>
      <c r="BG69" s="6">
        <f t="shared" si="31"/>
        <v>0</v>
      </c>
      <c r="BH69" s="6">
        <f t="shared" si="31"/>
        <v>2784.21</v>
      </c>
      <c r="BI69" s="6">
        <f t="shared" si="31"/>
        <v>0</v>
      </c>
      <c r="BJ69" s="6">
        <f t="shared" si="31"/>
        <v>0</v>
      </c>
      <c r="BK69" s="6">
        <f t="shared" si="31"/>
        <v>0</v>
      </c>
      <c r="BL69" s="6">
        <f t="shared" si="31"/>
        <v>12030.82</v>
      </c>
      <c r="BM69" s="6">
        <f t="shared" si="31"/>
        <v>0</v>
      </c>
      <c r="BN69" s="6">
        <f t="shared" ref="BN69:CA69" si="32">SUM(BN67:BN68)</f>
        <v>1301.06</v>
      </c>
      <c r="BO69" s="6">
        <f t="shared" si="32"/>
        <v>0</v>
      </c>
      <c r="BP69" s="6">
        <f t="shared" si="32"/>
        <v>0</v>
      </c>
      <c r="BQ69" s="6">
        <f t="shared" si="32"/>
        <v>0</v>
      </c>
      <c r="BR69" s="6">
        <f t="shared" si="32"/>
        <v>0</v>
      </c>
      <c r="BS69" s="6">
        <f t="shared" si="32"/>
        <v>0</v>
      </c>
      <c r="BT69" s="6">
        <f t="shared" si="32"/>
        <v>0</v>
      </c>
      <c r="BU69" s="6">
        <f t="shared" si="32"/>
        <v>0</v>
      </c>
      <c r="BV69" s="6">
        <f t="shared" si="32"/>
        <v>0</v>
      </c>
      <c r="BW69" s="6">
        <f t="shared" si="32"/>
        <v>0</v>
      </c>
      <c r="BX69" s="6">
        <f t="shared" si="32"/>
        <v>2644.46</v>
      </c>
      <c r="BY69" s="6">
        <f t="shared" si="32"/>
        <v>0</v>
      </c>
      <c r="BZ69" s="6">
        <f t="shared" si="32"/>
        <v>0</v>
      </c>
      <c r="CA69" s="6">
        <f t="shared" si="32"/>
        <v>0</v>
      </c>
    </row>
    <row r="70" spans="1:79" x14ac:dyDescent="0.3">
      <c r="A70" s="7" t="s">
        <v>147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</row>
    <row r="71" spans="1:79" x14ac:dyDescent="0.3">
      <c r="A71" s="9" t="s">
        <v>148</v>
      </c>
      <c r="B71" s="10">
        <v>1014.99</v>
      </c>
      <c r="C71" s="10">
        <v>899.16</v>
      </c>
      <c r="D71" s="10">
        <v>743.27</v>
      </c>
      <c r="E71" s="10">
        <v>3006.34</v>
      </c>
      <c r="F71" s="10">
        <v>2168.5300000000002</v>
      </c>
      <c r="G71" s="10">
        <v>1450.84</v>
      </c>
      <c r="H71" s="10">
        <v>1577.92</v>
      </c>
      <c r="I71" s="10">
        <v>2358.6</v>
      </c>
      <c r="J71" s="10">
        <v>2579.06</v>
      </c>
      <c r="K71" s="10">
        <v>2327.69</v>
      </c>
      <c r="L71" s="10">
        <v>1604.74</v>
      </c>
      <c r="M71" s="10">
        <v>2083.59</v>
      </c>
      <c r="N71" s="10">
        <v>1124.6400000000001</v>
      </c>
      <c r="O71" s="10">
        <v>5334.35</v>
      </c>
      <c r="P71" s="10">
        <v>1609.09</v>
      </c>
      <c r="Q71" s="10">
        <v>3805.95</v>
      </c>
      <c r="R71" s="10">
        <v>1379.21</v>
      </c>
      <c r="S71" s="10">
        <v>94.54</v>
      </c>
      <c r="T71" s="10">
        <v>1453.35</v>
      </c>
      <c r="U71" s="10">
        <v>2013.24</v>
      </c>
      <c r="V71" s="10">
        <v>2652.48</v>
      </c>
      <c r="W71" s="10">
        <v>373.32</v>
      </c>
      <c r="X71" s="10">
        <v>1129.3900000000001</v>
      </c>
      <c r="Y71" s="10">
        <v>1136.31</v>
      </c>
      <c r="Z71" s="10">
        <v>1309.46</v>
      </c>
      <c r="AA71" s="10">
        <v>1190.73</v>
      </c>
      <c r="AB71" s="10">
        <v>1548.05</v>
      </c>
      <c r="AC71" s="10">
        <v>1891.08</v>
      </c>
      <c r="AD71" s="10">
        <v>1753.28</v>
      </c>
      <c r="AE71" s="10">
        <v>4446.09</v>
      </c>
      <c r="AF71" s="10">
        <v>2257.54</v>
      </c>
      <c r="AG71" s="10">
        <v>4152.47</v>
      </c>
      <c r="AH71" s="10">
        <v>1592.67</v>
      </c>
      <c r="AI71" s="10">
        <v>2180.83</v>
      </c>
      <c r="AJ71" s="10">
        <v>3991.75</v>
      </c>
      <c r="AK71" s="10">
        <v>1851.91</v>
      </c>
      <c r="AL71" s="10">
        <v>2128.62</v>
      </c>
      <c r="AM71" s="10">
        <v>2936.36</v>
      </c>
      <c r="AN71" s="10">
        <v>3862.71</v>
      </c>
      <c r="AO71" s="10">
        <v>2909.42</v>
      </c>
      <c r="AP71" s="10">
        <v>2810.54</v>
      </c>
      <c r="AQ71" s="10">
        <v>3105.63</v>
      </c>
      <c r="AR71" s="10">
        <v>3076.8</v>
      </c>
      <c r="AS71" s="10">
        <v>3060.31</v>
      </c>
      <c r="AT71" s="10">
        <v>2671.19</v>
      </c>
      <c r="AU71" s="10">
        <v>254.73</v>
      </c>
      <c r="AV71" s="10">
        <v>6931.64</v>
      </c>
      <c r="AW71" s="10">
        <v>2890.69</v>
      </c>
      <c r="AX71" s="10">
        <v>945.21</v>
      </c>
      <c r="AY71" s="10">
        <v>9501.83</v>
      </c>
      <c r="AZ71" s="10">
        <v>7039.64</v>
      </c>
      <c r="BA71" s="10">
        <v>4605.3599999999997</v>
      </c>
      <c r="BB71" s="10">
        <v>670.09</v>
      </c>
      <c r="BC71" s="10">
        <v>6220.94</v>
      </c>
      <c r="BD71" s="10">
        <v>548.45000000000005</v>
      </c>
      <c r="BE71" s="10">
        <v>8628.7999999999993</v>
      </c>
      <c r="BF71" s="10">
        <v>12475.43</v>
      </c>
      <c r="BG71" s="10">
        <v>4765.0600000000004</v>
      </c>
      <c r="BH71" s="10">
        <v>4121.2299999999996</v>
      </c>
      <c r="BI71" s="10">
        <v>5292.54</v>
      </c>
      <c r="BJ71" s="10">
        <v>714.39</v>
      </c>
      <c r="BK71" s="10">
        <v>4035.15</v>
      </c>
      <c r="BL71" s="10">
        <v>3666.13</v>
      </c>
      <c r="BM71" s="10">
        <v>3719.72</v>
      </c>
      <c r="BN71" s="10">
        <v>3756.38</v>
      </c>
      <c r="BO71" s="10">
        <v>0</v>
      </c>
      <c r="BP71" s="10">
        <v>3936.25</v>
      </c>
      <c r="BQ71" s="10">
        <v>4420.4399999999996</v>
      </c>
      <c r="BR71" s="10">
        <v>4476.53</v>
      </c>
      <c r="BS71" s="10">
        <v>7555.78</v>
      </c>
      <c r="BT71" s="10">
        <v>1309.67</v>
      </c>
      <c r="BU71" s="10">
        <v>6842.63</v>
      </c>
      <c r="BV71" s="10">
        <v>3710.64</v>
      </c>
      <c r="BW71" s="10">
        <v>3509.77</v>
      </c>
      <c r="BX71" s="10">
        <v>3098.78</v>
      </c>
      <c r="BY71" s="10">
        <v>2571.73</v>
      </c>
      <c r="BZ71" s="10">
        <v>2693.84</v>
      </c>
      <c r="CA71" s="10">
        <v>2645.02</v>
      </c>
    </row>
    <row r="72" spans="1:79" x14ac:dyDescent="0.3">
      <c r="A72" s="9" t="s">
        <v>149</v>
      </c>
      <c r="B72" s="10">
        <v>373.59</v>
      </c>
      <c r="C72" s="10">
        <v>273.33</v>
      </c>
      <c r="D72" s="10">
        <v>245.97</v>
      </c>
      <c r="E72" s="10">
        <v>747.18</v>
      </c>
      <c r="F72" s="10">
        <v>852.09</v>
      </c>
      <c r="G72" s="10">
        <v>592.29</v>
      </c>
      <c r="H72" s="10">
        <v>1102.5899999999999</v>
      </c>
      <c r="I72" s="10">
        <v>1291.6199999999999</v>
      </c>
      <c r="J72" s="10">
        <v>421.95</v>
      </c>
      <c r="K72" s="10">
        <v>667.88</v>
      </c>
      <c r="L72" s="10">
        <v>1161.55</v>
      </c>
      <c r="M72" s="10">
        <v>797.48</v>
      </c>
      <c r="N72" s="10">
        <v>1058.17</v>
      </c>
      <c r="O72" s="10">
        <v>1049.6400000000001</v>
      </c>
      <c r="P72" s="10">
        <v>1171.79</v>
      </c>
      <c r="Q72" s="10">
        <v>2108.5500000000002</v>
      </c>
      <c r="R72" s="10">
        <v>0</v>
      </c>
      <c r="S72" s="10">
        <v>312.85000000000002</v>
      </c>
      <c r="T72" s="10">
        <v>814.22</v>
      </c>
      <c r="U72" s="10">
        <v>708</v>
      </c>
      <c r="V72" s="10">
        <v>748.42</v>
      </c>
      <c r="W72" s="10">
        <v>717.74</v>
      </c>
      <c r="X72" s="10">
        <v>654.24</v>
      </c>
      <c r="Y72" s="10">
        <v>802.94</v>
      </c>
      <c r="Z72" s="10">
        <v>1706.3</v>
      </c>
      <c r="AA72" s="10">
        <v>9.09</v>
      </c>
      <c r="AB72" s="10">
        <v>996.36</v>
      </c>
      <c r="AC72" s="10">
        <v>1093.6500000000001</v>
      </c>
      <c r="AD72" s="10">
        <v>834.42</v>
      </c>
      <c r="AE72" s="10">
        <v>1029.6600000000001</v>
      </c>
      <c r="AF72" s="10">
        <v>1487.24</v>
      </c>
      <c r="AG72" s="10">
        <v>769.91</v>
      </c>
      <c r="AH72" s="10">
        <v>420.51</v>
      </c>
      <c r="AI72" s="10">
        <v>632.51</v>
      </c>
      <c r="AJ72" s="10">
        <v>592.30999999999995</v>
      </c>
      <c r="AK72" s="10">
        <v>592.20000000000005</v>
      </c>
      <c r="AL72" s="10">
        <v>544.72</v>
      </c>
      <c r="AM72" s="10">
        <v>528.14</v>
      </c>
      <c r="AN72" s="10">
        <v>1042.93</v>
      </c>
      <c r="AO72" s="10">
        <v>934.63</v>
      </c>
      <c r="AP72" s="10">
        <v>755.78</v>
      </c>
      <c r="AQ72" s="10">
        <v>676.64</v>
      </c>
      <c r="AR72" s="10">
        <v>3.67</v>
      </c>
      <c r="AS72" s="10">
        <v>2818.14</v>
      </c>
      <c r="AT72" s="10">
        <v>101.81</v>
      </c>
      <c r="AU72" s="10">
        <v>1350.33</v>
      </c>
      <c r="AV72" s="10">
        <v>638.1</v>
      </c>
      <c r="AW72" s="10">
        <v>1435.14</v>
      </c>
      <c r="AX72" s="10">
        <v>1226.76</v>
      </c>
      <c r="AY72" s="10">
        <v>1207.6500000000001</v>
      </c>
      <c r="AZ72" s="10">
        <v>1657.08</v>
      </c>
      <c r="BA72" s="10">
        <v>1848.35</v>
      </c>
      <c r="BB72" s="10">
        <v>1355.04</v>
      </c>
      <c r="BC72" s="10">
        <v>1909.8</v>
      </c>
      <c r="BD72" s="10">
        <v>2835.23</v>
      </c>
      <c r="BE72" s="10">
        <v>2757.88</v>
      </c>
      <c r="BF72" s="10">
        <v>60.44</v>
      </c>
      <c r="BG72" s="10">
        <v>6778.46</v>
      </c>
      <c r="BH72" s="10">
        <v>2118.7399999999998</v>
      </c>
      <c r="BI72" s="10">
        <v>2202.04</v>
      </c>
      <c r="BJ72" s="10">
        <v>-1274.1099999999999</v>
      </c>
      <c r="BK72" s="10">
        <v>2173.94</v>
      </c>
      <c r="BL72" s="10">
        <v>271.3</v>
      </c>
      <c r="BM72" s="10">
        <v>1121.55</v>
      </c>
      <c r="BN72" s="10">
        <v>601.49</v>
      </c>
      <c r="BO72" s="10">
        <v>1111.03</v>
      </c>
      <c r="BP72" s="10">
        <v>1815.32</v>
      </c>
      <c r="BQ72" s="10">
        <v>1560.75</v>
      </c>
      <c r="BR72" s="10">
        <v>2053.0500000000002</v>
      </c>
      <c r="BS72" s="10">
        <v>118.64</v>
      </c>
      <c r="BT72" s="10">
        <v>2063.91</v>
      </c>
      <c r="BU72" s="10">
        <v>1761.14</v>
      </c>
      <c r="BV72" s="10">
        <v>2896.48</v>
      </c>
      <c r="BW72" s="10">
        <v>1576.06</v>
      </c>
      <c r="BX72" s="10">
        <v>1385.48</v>
      </c>
      <c r="BY72" s="10">
        <v>1209.1199999999999</v>
      </c>
      <c r="BZ72" s="10">
        <v>2348.96</v>
      </c>
      <c r="CA72" s="10">
        <v>1300.45</v>
      </c>
    </row>
    <row r="73" spans="1:79" x14ac:dyDescent="0.3">
      <c r="A73" s="9" t="s">
        <v>150</v>
      </c>
      <c r="B73" s="10">
        <v>0</v>
      </c>
      <c r="C73" s="10">
        <v>743.41</v>
      </c>
      <c r="D73" s="10">
        <v>0</v>
      </c>
      <c r="E73" s="10">
        <v>572.32000000000005</v>
      </c>
      <c r="F73" s="10">
        <v>877.5</v>
      </c>
      <c r="G73" s="10">
        <v>1314.1</v>
      </c>
      <c r="H73" s="10">
        <v>420</v>
      </c>
      <c r="I73" s="10">
        <v>204</v>
      </c>
      <c r="J73" s="10">
        <v>353.05</v>
      </c>
      <c r="K73" s="10">
        <v>0</v>
      </c>
      <c r="L73" s="10">
        <v>0</v>
      </c>
      <c r="M73" s="10">
        <v>733.86</v>
      </c>
      <c r="N73" s="10">
        <v>0</v>
      </c>
      <c r="O73" s="10">
        <v>0</v>
      </c>
      <c r="P73" s="10">
        <v>2334.5</v>
      </c>
      <c r="Q73" s="10">
        <v>316.58999999999997</v>
      </c>
      <c r="R73" s="10">
        <v>0</v>
      </c>
      <c r="S73" s="10">
        <v>928.32</v>
      </c>
      <c r="T73" s="10">
        <v>990.18</v>
      </c>
      <c r="U73" s="10">
        <v>0</v>
      </c>
      <c r="V73" s="10">
        <v>381.09</v>
      </c>
      <c r="W73" s="10">
        <v>773.5</v>
      </c>
      <c r="X73" s="10">
        <v>0</v>
      </c>
      <c r="Y73" s="10">
        <v>0</v>
      </c>
      <c r="Z73" s="10">
        <v>625.72</v>
      </c>
      <c r="AA73" s="10">
        <v>885.82</v>
      </c>
      <c r="AB73" s="10">
        <v>557.82000000000005</v>
      </c>
      <c r="AC73" s="10">
        <v>768.52</v>
      </c>
      <c r="AD73" s="10">
        <v>1001.79</v>
      </c>
      <c r="AE73" s="10">
        <v>354.55</v>
      </c>
      <c r="AF73" s="10">
        <v>1647.81</v>
      </c>
      <c r="AG73" s="10">
        <v>109.09</v>
      </c>
      <c r="AH73" s="10">
        <v>1790.56</v>
      </c>
      <c r="AI73" s="10">
        <v>807.48</v>
      </c>
      <c r="AJ73" s="10">
        <v>318.18</v>
      </c>
      <c r="AK73" s="10">
        <v>854.95</v>
      </c>
      <c r="AL73" s="10">
        <v>572.1</v>
      </c>
      <c r="AM73" s="10">
        <v>1179.72</v>
      </c>
      <c r="AN73" s="10">
        <v>215.55</v>
      </c>
      <c r="AO73" s="10">
        <v>0</v>
      </c>
      <c r="AP73" s="10">
        <v>432.5</v>
      </c>
      <c r="AQ73" s="10">
        <v>1071.18</v>
      </c>
      <c r="AR73" s="10">
        <v>1921.73</v>
      </c>
      <c r="AS73" s="10">
        <v>0</v>
      </c>
      <c r="AT73" s="10">
        <v>1070</v>
      </c>
      <c r="AU73" s="10">
        <v>2407.79</v>
      </c>
      <c r="AV73" s="10">
        <v>1107.4100000000001</v>
      </c>
      <c r="AW73" s="10">
        <v>281.05</v>
      </c>
      <c r="AX73" s="10">
        <v>3761</v>
      </c>
      <c r="AY73" s="10">
        <v>2341.81</v>
      </c>
      <c r="AZ73" s="10">
        <v>684.56</v>
      </c>
      <c r="BA73" s="10">
        <v>1939.2</v>
      </c>
      <c r="BB73" s="10">
        <v>2123.8200000000002</v>
      </c>
      <c r="BC73" s="10">
        <v>4341.55</v>
      </c>
      <c r="BD73" s="10">
        <v>476.41</v>
      </c>
      <c r="BE73" s="10">
        <v>2219.77</v>
      </c>
      <c r="BF73" s="10">
        <v>353.74</v>
      </c>
      <c r="BG73" s="10">
        <v>65.290000000000006</v>
      </c>
      <c r="BH73" s="10">
        <v>92.41</v>
      </c>
      <c r="BI73" s="10">
        <v>1954.28</v>
      </c>
      <c r="BJ73" s="10">
        <v>427.54</v>
      </c>
      <c r="BK73" s="10">
        <v>793.39</v>
      </c>
      <c r="BL73" s="10">
        <v>3411.77</v>
      </c>
      <c r="BM73" s="10">
        <v>807.27</v>
      </c>
      <c r="BN73" s="10">
        <v>-1217.8800000000001</v>
      </c>
      <c r="BO73" s="10">
        <v>2819.74</v>
      </c>
      <c r="BP73" s="10">
        <v>669.09</v>
      </c>
      <c r="BQ73" s="10">
        <v>2633.86</v>
      </c>
      <c r="BR73" s="10">
        <v>4248.92</v>
      </c>
      <c r="BS73" s="10">
        <v>137.27000000000001</v>
      </c>
      <c r="BT73" s="10">
        <v>1285.1500000000001</v>
      </c>
      <c r="BU73" s="10">
        <v>484.77</v>
      </c>
      <c r="BV73" s="10">
        <v>1583.88</v>
      </c>
      <c r="BW73" s="10">
        <v>829.64</v>
      </c>
      <c r="BX73" s="10">
        <v>3987.41</v>
      </c>
      <c r="BY73" s="10">
        <v>896.61</v>
      </c>
      <c r="BZ73" s="10">
        <v>295.45</v>
      </c>
      <c r="CA73" s="10">
        <v>1863.65</v>
      </c>
    </row>
    <row r="74" spans="1:79" x14ac:dyDescent="0.3">
      <c r="A74" s="9" t="s">
        <v>151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608.61</v>
      </c>
      <c r="AB74" s="10">
        <v>608.61</v>
      </c>
      <c r="AC74" s="10">
        <v>608.61</v>
      </c>
      <c r="AD74" s="10">
        <v>608.61</v>
      </c>
      <c r="AE74" s="10">
        <v>608.61</v>
      </c>
      <c r="AF74" s="10">
        <v>608.61</v>
      </c>
      <c r="AG74" s="10">
        <v>608.61</v>
      </c>
      <c r="AH74" s="10">
        <v>608.61</v>
      </c>
      <c r="AI74" s="10">
        <v>608.61</v>
      </c>
      <c r="AJ74" s="10">
        <v>608.61</v>
      </c>
      <c r="AK74" s="10">
        <v>608.61</v>
      </c>
      <c r="AL74" s="10">
        <v>608.61</v>
      </c>
      <c r="AM74" s="10">
        <v>843.25</v>
      </c>
      <c r="AN74" s="10">
        <v>843.25</v>
      </c>
      <c r="AO74" s="10">
        <v>843.25</v>
      </c>
      <c r="AP74" s="10">
        <v>843.25</v>
      </c>
      <c r="AQ74" s="10">
        <v>843.25</v>
      </c>
      <c r="AR74" s="10">
        <v>843.25</v>
      </c>
      <c r="AS74" s="10">
        <v>843.25</v>
      </c>
      <c r="AT74" s="10">
        <v>843.25</v>
      </c>
      <c r="AU74" s="10">
        <v>843.25</v>
      </c>
      <c r="AV74" s="10">
        <v>843.25</v>
      </c>
      <c r="AW74" s="10">
        <v>1696.14</v>
      </c>
      <c r="AX74" s="10">
        <v>843.25</v>
      </c>
      <c r="AY74" s="10">
        <v>1544.07</v>
      </c>
      <c r="AZ74" s="10">
        <v>348.84</v>
      </c>
      <c r="BA74" s="10">
        <v>0</v>
      </c>
      <c r="BB74" s="10">
        <v>2313.56</v>
      </c>
      <c r="BC74" s="10">
        <v>0</v>
      </c>
      <c r="BD74" s="10">
        <v>1379.19</v>
      </c>
      <c r="BE74" s="10">
        <v>0</v>
      </c>
      <c r="BF74" s="10">
        <v>730.16</v>
      </c>
      <c r="BG74" s="10">
        <v>0</v>
      </c>
      <c r="BH74" s="10">
        <v>0</v>
      </c>
      <c r="BI74" s="10">
        <v>0</v>
      </c>
      <c r="BJ74" s="10">
        <v>0</v>
      </c>
      <c r="BK74" s="10">
        <v>178.18</v>
      </c>
      <c r="BL74" s="10">
        <v>0</v>
      </c>
      <c r="BM74" s="10">
        <v>20119.060000000001</v>
      </c>
      <c r="BN74" s="10">
        <v>0</v>
      </c>
      <c r="BO74" s="10">
        <v>0</v>
      </c>
      <c r="BP74" s="10">
        <v>0</v>
      </c>
      <c r="BQ74" s="10">
        <v>0</v>
      </c>
      <c r="BR74" s="10">
        <v>1161</v>
      </c>
      <c r="BS74" s="10">
        <v>1079.3699999999999</v>
      </c>
      <c r="BT74" s="10">
        <v>0</v>
      </c>
      <c r="BU74" s="10">
        <v>0</v>
      </c>
      <c r="BV74" s="10">
        <v>178.18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</row>
    <row r="75" spans="1:79" x14ac:dyDescent="0.3">
      <c r="A75" s="9" t="s">
        <v>152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55</v>
      </c>
      <c r="U75" s="10">
        <v>0</v>
      </c>
      <c r="V75" s="10">
        <v>0</v>
      </c>
      <c r="W75" s="10">
        <v>39.21</v>
      </c>
      <c r="X75" s="10">
        <v>0</v>
      </c>
      <c r="Y75" s="10">
        <v>0</v>
      </c>
      <c r="Z75" s="10">
        <v>1675.44</v>
      </c>
      <c r="AA75" s="10">
        <v>0</v>
      </c>
      <c r="AB75" s="10">
        <v>791.81</v>
      </c>
      <c r="AC75" s="10">
        <v>0</v>
      </c>
      <c r="AD75" s="10">
        <v>0</v>
      </c>
      <c r="AE75" s="10">
        <v>55.3</v>
      </c>
      <c r="AF75" s="10">
        <v>0</v>
      </c>
      <c r="AG75" s="10">
        <v>0</v>
      </c>
      <c r="AH75" s="10">
        <v>61.73</v>
      </c>
      <c r="AI75" s="10">
        <v>0</v>
      </c>
      <c r="AJ75" s="10">
        <v>0</v>
      </c>
      <c r="AK75" s="10">
        <v>19.3</v>
      </c>
      <c r="AL75" s="10">
        <v>0</v>
      </c>
      <c r="AM75" s="10">
        <v>855.18</v>
      </c>
      <c r="AN75" s="10">
        <v>1649.78</v>
      </c>
      <c r="AO75" s="10">
        <v>0</v>
      </c>
      <c r="AP75" s="10">
        <v>1691.87</v>
      </c>
      <c r="AQ75" s="10">
        <v>0</v>
      </c>
      <c r="AR75" s="10">
        <v>0</v>
      </c>
      <c r="AS75" s="10">
        <v>0</v>
      </c>
      <c r="AT75" s="10">
        <v>870.17</v>
      </c>
      <c r="AU75" s="10">
        <v>921.35</v>
      </c>
      <c r="AV75" s="10">
        <v>0</v>
      </c>
      <c r="AW75" s="10">
        <v>0</v>
      </c>
      <c r="AX75" s="10">
        <v>0</v>
      </c>
      <c r="AY75" s="10">
        <v>216.5</v>
      </c>
      <c r="AZ75" s="10">
        <v>1639.54</v>
      </c>
      <c r="BA75" s="10">
        <v>62.74</v>
      </c>
      <c r="BB75" s="10">
        <v>556.52</v>
      </c>
      <c r="BC75" s="10">
        <v>62.74</v>
      </c>
      <c r="BD75" s="10">
        <v>0</v>
      </c>
      <c r="BE75" s="10">
        <v>0</v>
      </c>
      <c r="BF75" s="10">
        <v>1756</v>
      </c>
      <c r="BG75" s="10">
        <v>0</v>
      </c>
      <c r="BH75" s="10">
        <v>1522.88</v>
      </c>
      <c r="BI75" s="10">
        <v>0</v>
      </c>
      <c r="BJ75" s="10">
        <v>832.27</v>
      </c>
      <c r="BK75" s="10">
        <v>80.819999999999993</v>
      </c>
      <c r="BL75" s="10">
        <v>861.53</v>
      </c>
      <c r="BM75" s="10">
        <v>0</v>
      </c>
      <c r="BN75" s="10">
        <v>3593.68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315.14999999999998</v>
      </c>
      <c r="BX75" s="10">
        <v>0</v>
      </c>
      <c r="BY75" s="10">
        <v>907.7</v>
      </c>
      <c r="BZ75" s="10">
        <v>1294.04</v>
      </c>
      <c r="CA75" s="10">
        <v>0</v>
      </c>
    </row>
    <row r="76" spans="1:79" x14ac:dyDescent="0.3">
      <c r="A76" s="11" t="s">
        <v>153</v>
      </c>
      <c r="B76" s="6">
        <f t="shared" ref="B76:AG76" si="33">SUM(B71:B75)</f>
        <v>1388.58</v>
      </c>
      <c r="C76" s="6">
        <f t="shared" si="33"/>
        <v>1915.9</v>
      </c>
      <c r="D76" s="6">
        <f t="shared" si="33"/>
        <v>989.24</v>
      </c>
      <c r="E76" s="6">
        <f t="shared" si="33"/>
        <v>4325.84</v>
      </c>
      <c r="F76" s="6">
        <f t="shared" si="33"/>
        <v>3898.1200000000003</v>
      </c>
      <c r="G76" s="6">
        <f t="shared" si="33"/>
        <v>3357.2299999999996</v>
      </c>
      <c r="H76" s="6">
        <f t="shared" si="33"/>
        <v>3100.51</v>
      </c>
      <c r="I76" s="6">
        <f t="shared" si="33"/>
        <v>3854.22</v>
      </c>
      <c r="J76" s="6">
        <f t="shared" si="33"/>
        <v>3354.06</v>
      </c>
      <c r="K76" s="6">
        <f t="shared" si="33"/>
        <v>2995.57</v>
      </c>
      <c r="L76" s="6">
        <f t="shared" si="33"/>
        <v>2766.29</v>
      </c>
      <c r="M76" s="6">
        <f t="shared" si="33"/>
        <v>3614.9300000000003</v>
      </c>
      <c r="N76" s="6">
        <f t="shared" si="33"/>
        <v>2182.8100000000004</v>
      </c>
      <c r="O76" s="6">
        <f t="shared" si="33"/>
        <v>6383.9900000000007</v>
      </c>
      <c r="P76" s="6">
        <f t="shared" si="33"/>
        <v>5115.38</v>
      </c>
      <c r="Q76" s="6">
        <f t="shared" si="33"/>
        <v>6231.09</v>
      </c>
      <c r="R76" s="6">
        <f t="shared" si="33"/>
        <v>1379.21</v>
      </c>
      <c r="S76" s="6">
        <f t="shared" si="33"/>
        <v>1335.71</v>
      </c>
      <c r="T76" s="6">
        <f t="shared" si="33"/>
        <v>3312.7499999999995</v>
      </c>
      <c r="U76" s="6">
        <f t="shared" si="33"/>
        <v>2721.24</v>
      </c>
      <c r="V76" s="6">
        <f t="shared" si="33"/>
        <v>3781.9900000000002</v>
      </c>
      <c r="W76" s="6">
        <f t="shared" si="33"/>
        <v>1903.77</v>
      </c>
      <c r="X76" s="6">
        <f t="shared" si="33"/>
        <v>1783.63</v>
      </c>
      <c r="Y76" s="6">
        <f t="shared" si="33"/>
        <v>1939.25</v>
      </c>
      <c r="Z76" s="6">
        <f t="shared" si="33"/>
        <v>5316.92</v>
      </c>
      <c r="AA76" s="6">
        <f t="shared" si="33"/>
        <v>2694.25</v>
      </c>
      <c r="AB76" s="6">
        <f t="shared" si="33"/>
        <v>4502.6499999999996</v>
      </c>
      <c r="AC76" s="6">
        <f t="shared" si="33"/>
        <v>4361.8599999999997</v>
      </c>
      <c r="AD76" s="6">
        <f t="shared" si="33"/>
        <v>4198.0999999999995</v>
      </c>
      <c r="AE76" s="6">
        <f t="shared" si="33"/>
        <v>6494.21</v>
      </c>
      <c r="AF76" s="6">
        <f t="shared" si="33"/>
        <v>6001.2</v>
      </c>
      <c r="AG76" s="6">
        <f t="shared" si="33"/>
        <v>5640.08</v>
      </c>
      <c r="AH76" s="6">
        <f t="shared" ref="AH76:BM76" si="34">SUM(AH71:AH75)</f>
        <v>4474.079999999999</v>
      </c>
      <c r="AI76" s="6">
        <f t="shared" si="34"/>
        <v>4229.43</v>
      </c>
      <c r="AJ76" s="6">
        <f t="shared" si="34"/>
        <v>5510.8499999999995</v>
      </c>
      <c r="AK76" s="6">
        <f t="shared" si="34"/>
        <v>3926.9700000000007</v>
      </c>
      <c r="AL76" s="6">
        <f t="shared" si="34"/>
        <v>3854.05</v>
      </c>
      <c r="AM76" s="6">
        <f t="shared" si="34"/>
        <v>6342.6500000000005</v>
      </c>
      <c r="AN76" s="6">
        <f t="shared" si="34"/>
        <v>7614.22</v>
      </c>
      <c r="AO76" s="6">
        <f t="shared" si="34"/>
        <v>4687.3</v>
      </c>
      <c r="AP76" s="6">
        <f t="shared" si="34"/>
        <v>6533.94</v>
      </c>
      <c r="AQ76" s="6">
        <f t="shared" si="34"/>
        <v>5696.7</v>
      </c>
      <c r="AR76" s="6">
        <f t="shared" si="34"/>
        <v>5845.4500000000007</v>
      </c>
      <c r="AS76" s="6">
        <f t="shared" si="34"/>
        <v>6721.7</v>
      </c>
      <c r="AT76" s="6">
        <f t="shared" si="34"/>
        <v>5556.42</v>
      </c>
      <c r="AU76" s="6">
        <f t="shared" si="34"/>
        <v>5777.4500000000007</v>
      </c>
      <c r="AV76" s="6">
        <f t="shared" si="34"/>
        <v>9520.4000000000015</v>
      </c>
      <c r="AW76" s="6">
        <f t="shared" si="34"/>
        <v>6303.02</v>
      </c>
      <c r="AX76" s="6">
        <f t="shared" si="34"/>
        <v>6776.22</v>
      </c>
      <c r="AY76" s="6">
        <f t="shared" si="34"/>
        <v>14811.859999999999</v>
      </c>
      <c r="AZ76" s="6">
        <f t="shared" si="34"/>
        <v>11369.66</v>
      </c>
      <c r="BA76" s="6">
        <f t="shared" si="34"/>
        <v>8455.65</v>
      </c>
      <c r="BB76" s="6">
        <f t="shared" si="34"/>
        <v>7019.0300000000007</v>
      </c>
      <c r="BC76" s="6">
        <f t="shared" si="34"/>
        <v>12535.03</v>
      </c>
      <c r="BD76" s="6">
        <f t="shared" si="34"/>
        <v>5239.2800000000007</v>
      </c>
      <c r="BE76" s="6">
        <f t="shared" si="34"/>
        <v>13606.45</v>
      </c>
      <c r="BF76" s="6">
        <f t="shared" si="34"/>
        <v>15375.77</v>
      </c>
      <c r="BG76" s="6">
        <f t="shared" si="34"/>
        <v>11608.810000000001</v>
      </c>
      <c r="BH76" s="6">
        <f t="shared" si="34"/>
        <v>7855.2599999999993</v>
      </c>
      <c r="BI76" s="6">
        <f t="shared" si="34"/>
        <v>9448.86</v>
      </c>
      <c r="BJ76" s="6">
        <f t="shared" si="34"/>
        <v>700.09000000000015</v>
      </c>
      <c r="BK76" s="6">
        <f t="shared" si="34"/>
        <v>7261.4800000000005</v>
      </c>
      <c r="BL76" s="6">
        <f t="shared" si="34"/>
        <v>8210.7300000000014</v>
      </c>
      <c r="BM76" s="6">
        <f t="shared" si="34"/>
        <v>25767.599999999999</v>
      </c>
      <c r="BN76" s="6">
        <f t="shared" ref="BN76:CA76" si="35">SUM(BN71:BN75)</f>
        <v>6733.67</v>
      </c>
      <c r="BO76" s="6">
        <f t="shared" si="35"/>
        <v>3930.7699999999995</v>
      </c>
      <c r="BP76" s="6">
        <f t="shared" si="35"/>
        <v>6420.66</v>
      </c>
      <c r="BQ76" s="6">
        <f t="shared" si="35"/>
        <v>8615.0499999999993</v>
      </c>
      <c r="BR76" s="6">
        <f t="shared" si="35"/>
        <v>11939.5</v>
      </c>
      <c r="BS76" s="6">
        <f t="shared" si="35"/>
        <v>8891.0600000000013</v>
      </c>
      <c r="BT76" s="6">
        <f t="shared" si="35"/>
        <v>4658.7299999999996</v>
      </c>
      <c r="BU76" s="6">
        <f t="shared" si="35"/>
        <v>9088.5400000000009</v>
      </c>
      <c r="BV76" s="6">
        <f t="shared" si="35"/>
        <v>8369.18</v>
      </c>
      <c r="BW76" s="6">
        <f t="shared" si="35"/>
        <v>6230.62</v>
      </c>
      <c r="BX76" s="6">
        <f t="shared" si="35"/>
        <v>8471.67</v>
      </c>
      <c r="BY76" s="6">
        <f t="shared" si="35"/>
        <v>5585.16</v>
      </c>
      <c r="BZ76" s="6">
        <f t="shared" si="35"/>
        <v>6632.29</v>
      </c>
      <c r="CA76" s="6">
        <f t="shared" si="35"/>
        <v>5809.1200000000008</v>
      </c>
    </row>
    <row r="77" spans="1:79" x14ac:dyDescent="0.3">
      <c r="A77" s="7" t="s">
        <v>154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</row>
    <row r="78" spans="1:79" x14ac:dyDescent="0.3">
      <c r="A78" s="9" t="s">
        <v>155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166.94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1079.95</v>
      </c>
      <c r="BQ78" s="10">
        <v>0</v>
      </c>
      <c r="BR78" s="10">
        <v>0</v>
      </c>
      <c r="BS78" s="10">
        <v>1081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</row>
    <row r="79" spans="1:79" x14ac:dyDescent="0.3">
      <c r="A79" s="7" t="s">
        <v>156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</row>
    <row r="80" spans="1:79" x14ac:dyDescent="0.3">
      <c r="A80" s="9" t="s">
        <v>157</v>
      </c>
      <c r="B80" s="10">
        <v>1272.72</v>
      </c>
      <c r="C80" s="10">
        <v>1272.72</v>
      </c>
      <c r="D80" s="10">
        <v>1272.72</v>
      </c>
      <c r="E80" s="10">
        <v>1590.9</v>
      </c>
      <c r="F80" s="10">
        <v>1272.72</v>
      </c>
      <c r="G80" s="10">
        <v>1272.72</v>
      </c>
      <c r="H80" s="10">
        <v>1590.9</v>
      </c>
      <c r="I80" s="10">
        <v>1272.72</v>
      </c>
      <c r="J80" s="10">
        <v>1590.9</v>
      </c>
      <c r="K80" s="10">
        <v>1272.72</v>
      </c>
      <c r="L80" s="10">
        <v>1272.72</v>
      </c>
      <c r="M80" s="10">
        <v>1590.9</v>
      </c>
      <c r="N80" s="10">
        <v>1272.72</v>
      </c>
      <c r="O80" s="10">
        <v>1272.72</v>
      </c>
      <c r="P80" s="10">
        <v>1590.9</v>
      </c>
      <c r="Q80" s="10">
        <v>1272.72</v>
      </c>
      <c r="R80" s="10">
        <v>1272.72</v>
      </c>
      <c r="S80" s="10">
        <v>1590.9</v>
      </c>
      <c r="T80" s="10">
        <v>1272.72</v>
      </c>
      <c r="U80" s="10">
        <v>1590.9</v>
      </c>
      <c r="V80" s="10">
        <v>1272.72</v>
      </c>
      <c r="W80" s="10">
        <v>1272.72</v>
      </c>
      <c r="X80" s="10">
        <v>1590.9</v>
      </c>
      <c r="Y80" s="10">
        <v>1272.72</v>
      </c>
      <c r="Z80" s="10">
        <v>1272.72</v>
      </c>
      <c r="AA80" s="10">
        <v>1272.72</v>
      </c>
      <c r="AB80" s="10">
        <v>1590.9</v>
      </c>
      <c r="AC80" s="10">
        <v>1272.72</v>
      </c>
      <c r="AD80" s="10">
        <v>1590.9</v>
      </c>
      <c r="AE80" s="10">
        <v>1981.82</v>
      </c>
      <c r="AF80" s="10">
        <v>1840</v>
      </c>
      <c r="AG80" s="10">
        <v>2300</v>
      </c>
      <c r="AH80" s="10">
        <v>1840</v>
      </c>
      <c r="AI80" s="10">
        <v>1840</v>
      </c>
      <c r="AJ80" s="10">
        <v>2300</v>
      </c>
      <c r="AK80" s="10">
        <v>1840</v>
      </c>
      <c r="AL80" s="10">
        <v>2300</v>
      </c>
      <c r="AM80" s="10">
        <v>1840</v>
      </c>
      <c r="AN80" s="10">
        <v>1840</v>
      </c>
      <c r="AO80" s="10">
        <v>1840</v>
      </c>
      <c r="AP80" s="10">
        <v>2300</v>
      </c>
      <c r="AQ80" s="10">
        <v>1840</v>
      </c>
      <c r="AR80" s="10">
        <v>1840</v>
      </c>
      <c r="AS80" s="10">
        <v>2300</v>
      </c>
      <c r="AT80" s="10">
        <v>1840</v>
      </c>
      <c r="AU80" s="10">
        <v>2300</v>
      </c>
      <c r="AV80" s="10">
        <v>1840</v>
      </c>
      <c r="AW80" s="10">
        <v>1840</v>
      </c>
      <c r="AX80" s="10">
        <v>2300</v>
      </c>
      <c r="AY80" s="10">
        <v>1840</v>
      </c>
      <c r="AZ80" s="10">
        <v>1840</v>
      </c>
      <c r="BA80" s="10">
        <v>1840</v>
      </c>
      <c r="BB80" s="10">
        <v>2300</v>
      </c>
      <c r="BC80" s="10">
        <v>1840</v>
      </c>
      <c r="BD80" s="10">
        <v>2300</v>
      </c>
      <c r="BE80" s="10">
        <v>1840</v>
      </c>
      <c r="BF80" s="10">
        <v>1840</v>
      </c>
      <c r="BG80" s="10">
        <v>2300</v>
      </c>
      <c r="BH80" s="10">
        <v>1840</v>
      </c>
      <c r="BI80" s="10">
        <v>1840</v>
      </c>
      <c r="BJ80" s="10">
        <v>2300</v>
      </c>
      <c r="BK80" s="10">
        <v>1380</v>
      </c>
      <c r="BL80" s="10">
        <v>1380</v>
      </c>
      <c r="BM80" s="10">
        <v>2300</v>
      </c>
      <c r="BN80" s="10">
        <v>1840</v>
      </c>
      <c r="BO80" s="10">
        <v>1840</v>
      </c>
      <c r="BP80" s="10">
        <v>2300</v>
      </c>
      <c r="BQ80" s="10">
        <v>1840</v>
      </c>
      <c r="BR80" s="10">
        <v>2300</v>
      </c>
      <c r="BS80" s="10">
        <v>1840</v>
      </c>
      <c r="BT80" s="10">
        <v>1840</v>
      </c>
      <c r="BU80" s="10">
        <v>2300</v>
      </c>
      <c r="BV80" s="10">
        <v>1840</v>
      </c>
      <c r="BW80" s="10">
        <v>1840</v>
      </c>
      <c r="BX80" s="10">
        <v>2300</v>
      </c>
      <c r="BY80" s="10">
        <v>1840</v>
      </c>
      <c r="BZ80" s="10">
        <v>2020</v>
      </c>
      <c r="CA80" s="10">
        <v>920</v>
      </c>
    </row>
    <row r="81" spans="1:79" x14ac:dyDescent="0.3">
      <c r="A81" s="9" t="s">
        <v>158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77.06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237.15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</row>
    <row r="82" spans="1:79" x14ac:dyDescent="0.3">
      <c r="A82" s="11" t="s">
        <v>159</v>
      </c>
      <c r="B82" s="6">
        <f t="shared" ref="B82:AG82" si="36">SUM(B80:B81)</f>
        <v>1272.72</v>
      </c>
      <c r="C82" s="6">
        <f t="shared" si="36"/>
        <v>1272.72</v>
      </c>
      <c r="D82" s="6">
        <f t="shared" si="36"/>
        <v>1272.72</v>
      </c>
      <c r="E82" s="6">
        <f t="shared" si="36"/>
        <v>1590.9</v>
      </c>
      <c r="F82" s="6">
        <f t="shared" si="36"/>
        <v>1272.72</v>
      </c>
      <c r="G82" s="6">
        <f t="shared" si="36"/>
        <v>1272.72</v>
      </c>
      <c r="H82" s="6">
        <f t="shared" si="36"/>
        <v>1590.9</v>
      </c>
      <c r="I82" s="6">
        <f t="shared" si="36"/>
        <v>1272.72</v>
      </c>
      <c r="J82" s="6">
        <f t="shared" si="36"/>
        <v>1590.9</v>
      </c>
      <c r="K82" s="6">
        <f t="shared" si="36"/>
        <v>1272.72</v>
      </c>
      <c r="L82" s="6">
        <f t="shared" si="36"/>
        <v>1272.72</v>
      </c>
      <c r="M82" s="6">
        <f t="shared" si="36"/>
        <v>1590.9</v>
      </c>
      <c r="N82" s="6">
        <f t="shared" si="36"/>
        <v>1272.72</v>
      </c>
      <c r="O82" s="6">
        <f t="shared" si="36"/>
        <v>1272.72</v>
      </c>
      <c r="P82" s="6">
        <f t="shared" si="36"/>
        <v>1590.9</v>
      </c>
      <c r="Q82" s="6">
        <f t="shared" si="36"/>
        <v>1272.72</v>
      </c>
      <c r="R82" s="6">
        <f t="shared" si="36"/>
        <v>1272.72</v>
      </c>
      <c r="S82" s="6">
        <f t="shared" si="36"/>
        <v>1590.9</v>
      </c>
      <c r="T82" s="6">
        <f t="shared" si="36"/>
        <v>1272.72</v>
      </c>
      <c r="U82" s="6">
        <f t="shared" si="36"/>
        <v>1590.9</v>
      </c>
      <c r="V82" s="6">
        <f t="shared" si="36"/>
        <v>1272.72</v>
      </c>
      <c r="W82" s="6">
        <f t="shared" si="36"/>
        <v>1272.72</v>
      </c>
      <c r="X82" s="6">
        <f t="shared" si="36"/>
        <v>1590.9</v>
      </c>
      <c r="Y82" s="6">
        <f t="shared" si="36"/>
        <v>1272.72</v>
      </c>
      <c r="Z82" s="6">
        <f t="shared" si="36"/>
        <v>1272.72</v>
      </c>
      <c r="AA82" s="6">
        <f t="shared" si="36"/>
        <v>1272.72</v>
      </c>
      <c r="AB82" s="6">
        <f t="shared" si="36"/>
        <v>1590.9</v>
      </c>
      <c r="AC82" s="6">
        <f t="shared" si="36"/>
        <v>1272.72</v>
      </c>
      <c r="AD82" s="6">
        <f t="shared" si="36"/>
        <v>1590.9</v>
      </c>
      <c r="AE82" s="6">
        <f t="shared" si="36"/>
        <v>1981.82</v>
      </c>
      <c r="AF82" s="6">
        <f t="shared" si="36"/>
        <v>1840</v>
      </c>
      <c r="AG82" s="6">
        <f t="shared" si="36"/>
        <v>2300</v>
      </c>
      <c r="AH82" s="6">
        <f t="shared" ref="AH82:BM82" si="37">SUM(AH80:AH81)</f>
        <v>1840</v>
      </c>
      <c r="AI82" s="6">
        <f t="shared" si="37"/>
        <v>1840</v>
      </c>
      <c r="AJ82" s="6">
        <f t="shared" si="37"/>
        <v>2300</v>
      </c>
      <c r="AK82" s="6">
        <f t="shared" si="37"/>
        <v>1840</v>
      </c>
      <c r="AL82" s="6">
        <f t="shared" si="37"/>
        <v>2300</v>
      </c>
      <c r="AM82" s="6">
        <f t="shared" si="37"/>
        <v>1917.06</v>
      </c>
      <c r="AN82" s="6">
        <f t="shared" si="37"/>
        <v>1840</v>
      </c>
      <c r="AO82" s="6">
        <f t="shared" si="37"/>
        <v>1840</v>
      </c>
      <c r="AP82" s="6">
        <f t="shared" si="37"/>
        <v>2300</v>
      </c>
      <c r="AQ82" s="6">
        <f t="shared" si="37"/>
        <v>1840</v>
      </c>
      <c r="AR82" s="6">
        <f t="shared" si="37"/>
        <v>1840</v>
      </c>
      <c r="AS82" s="6">
        <f t="shared" si="37"/>
        <v>2300</v>
      </c>
      <c r="AT82" s="6">
        <f t="shared" si="37"/>
        <v>1840</v>
      </c>
      <c r="AU82" s="6">
        <f t="shared" si="37"/>
        <v>2537.15</v>
      </c>
      <c r="AV82" s="6">
        <f t="shared" si="37"/>
        <v>1840</v>
      </c>
      <c r="AW82" s="6">
        <f t="shared" si="37"/>
        <v>1840</v>
      </c>
      <c r="AX82" s="6">
        <f t="shared" si="37"/>
        <v>2300</v>
      </c>
      <c r="AY82" s="6">
        <f t="shared" si="37"/>
        <v>1840</v>
      </c>
      <c r="AZ82" s="6">
        <f t="shared" si="37"/>
        <v>1840</v>
      </c>
      <c r="BA82" s="6">
        <f t="shared" si="37"/>
        <v>1840</v>
      </c>
      <c r="BB82" s="6">
        <f t="shared" si="37"/>
        <v>2300</v>
      </c>
      <c r="BC82" s="6">
        <f t="shared" si="37"/>
        <v>1840</v>
      </c>
      <c r="BD82" s="6">
        <f t="shared" si="37"/>
        <v>2300</v>
      </c>
      <c r="BE82" s="6">
        <f t="shared" si="37"/>
        <v>1840</v>
      </c>
      <c r="BF82" s="6">
        <f t="shared" si="37"/>
        <v>1840</v>
      </c>
      <c r="BG82" s="6">
        <f t="shared" si="37"/>
        <v>2300</v>
      </c>
      <c r="BH82" s="6">
        <f t="shared" si="37"/>
        <v>1840</v>
      </c>
      <c r="BI82" s="6">
        <f t="shared" si="37"/>
        <v>1840</v>
      </c>
      <c r="BJ82" s="6">
        <f t="shared" si="37"/>
        <v>2300</v>
      </c>
      <c r="BK82" s="6">
        <f t="shared" si="37"/>
        <v>1380</v>
      </c>
      <c r="BL82" s="6">
        <f t="shared" si="37"/>
        <v>1380</v>
      </c>
      <c r="BM82" s="6">
        <f t="shared" si="37"/>
        <v>2300</v>
      </c>
      <c r="BN82" s="6">
        <f t="shared" ref="BN82:CA82" si="38">SUM(BN80:BN81)</f>
        <v>1840</v>
      </c>
      <c r="BO82" s="6">
        <f t="shared" si="38"/>
        <v>1840</v>
      </c>
      <c r="BP82" s="6">
        <f t="shared" si="38"/>
        <v>2300</v>
      </c>
      <c r="BQ82" s="6">
        <f t="shared" si="38"/>
        <v>1840</v>
      </c>
      <c r="BR82" s="6">
        <f t="shared" si="38"/>
        <v>2300</v>
      </c>
      <c r="BS82" s="6">
        <f t="shared" si="38"/>
        <v>1840</v>
      </c>
      <c r="BT82" s="6">
        <f t="shared" si="38"/>
        <v>1840</v>
      </c>
      <c r="BU82" s="6">
        <f t="shared" si="38"/>
        <v>2300</v>
      </c>
      <c r="BV82" s="6">
        <f t="shared" si="38"/>
        <v>1840</v>
      </c>
      <c r="BW82" s="6">
        <f t="shared" si="38"/>
        <v>1840</v>
      </c>
      <c r="BX82" s="6">
        <f t="shared" si="38"/>
        <v>2300</v>
      </c>
      <c r="BY82" s="6">
        <f t="shared" si="38"/>
        <v>1840</v>
      </c>
      <c r="BZ82" s="6">
        <f t="shared" si="38"/>
        <v>2020</v>
      </c>
      <c r="CA82" s="6">
        <f t="shared" si="38"/>
        <v>920</v>
      </c>
    </row>
    <row r="83" spans="1:79" x14ac:dyDescent="0.3">
      <c r="A83" s="7" t="s">
        <v>160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</row>
    <row r="84" spans="1:79" x14ac:dyDescent="0.3">
      <c r="A84" s="9" t="s">
        <v>161</v>
      </c>
      <c r="B84" s="10">
        <v>215</v>
      </c>
      <c r="C84" s="10">
        <v>15</v>
      </c>
      <c r="D84" s="10">
        <v>1545.45</v>
      </c>
      <c r="E84" s="10">
        <v>0</v>
      </c>
      <c r="F84" s="10">
        <v>52.64</v>
      </c>
      <c r="G84" s="10">
        <v>0</v>
      </c>
      <c r="H84" s="10">
        <v>0</v>
      </c>
      <c r="I84" s="10">
        <v>2654.05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843.76</v>
      </c>
      <c r="W84" s="10">
        <v>0</v>
      </c>
      <c r="X84" s="10">
        <v>0</v>
      </c>
      <c r="Y84" s="10">
        <v>0</v>
      </c>
      <c r="Z84" s="10">
        <v>0</v>
      </c>
      <c r="AA84" s="10">
        <v>633.27</v>
      </c>
      <c r="AB84" s="10">
        <v>0</v>
      </c>
      <c r="AC84" s="10">
        <v>508.18</v>
      </c>
      <c r="AD84" s="10">
        <v>737.18</v>
      </c>
      <c r="AE84" s="10">
        <v>0</v>
      </c>
      <c r="AF84" s="10">
        <v>0</v>
      </c>
      <c r="AG84" s="10">
        <v>300</v>
      </c>
      <c r="AH84" s="10">
        <v>0</v>
      </c>
      <c r="AI84" s="10">
        <v>700</v>
      </c>
      <c r="AJ84" s="10">
        <v>0</v>
      </c>
      <c r="AK84" s="10">
        <v>0</v>
      </c>
      <c r="AL84" s="10">
        <v>0</v>
      </c>
      <c r="AM84" s="10">
        <v>141.09</v>
      </c>
      <c r="AN84" s="10">
        <v>486.11</v>
      </c>
      <c r="AO84" s="10">
        <v>0</v>
      </c>
      <c r="AP84" s="10">
        <v>0</v>
      </c>
      <c r="AQ84" s="10">
        <v>850</v>
      </c>
      <c r="AR84" s="10">
        <v>804.55</v>
      </c>
      <c r="AS84" s="10">
        <v>0</v>
      </c>
      <c r="AT84" s="10">
        <v>205</v>
      </c>
      <c r="AU84" s="10">
        <v>1468.18</v>
      </c>
      <c r="AV84" s="10">
        <v>0</v>
      </c>
      <c r="AW84" s="10">
        <v>0</v>
      </c>
      <c r="AX84" s="10">
        <v>246.61</v>
      </c>
      <c r="AY84" s="10">
        <v>0</v>
      </c>
      <c r="AZ84" s="10">
        <v>916.15</v>
      </c>
      <c r="BA84" s="10">
        <v>0</v>
      </c>
      <c r="BB84" s="10">
        <v>2620</v>
      </c>
      <c r="BC84" s="10">
        <v>22.18</v>
      </c>
      <c r="BD84" s="10">
        <v>0</v>
      </c>
      <c r="BE84" s="10">
        <v>3844</v>
      </c>
      <c r="BF84" s="10">
        <v>5800</v>
      </c>
      <c r="BG84" s="10">
        <v>47.13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1540</v>
      </c>
      <c r="BP84" s="10">
        <v>0</v>
      </c>
      <c r="BQ84" s="10">
        <v>92.5</v>
      </c>
      <c r="BR84" s="10">
        <v>0</v>
      </c>
      <c r="BS84" s="10">
        <v>14.55</v>
      </c>
      <c r="BT84" s="10">
        <v>341</v>
      </c>
      <c r="BU84" s="10">
        <v>0</v>
      </c>
      <c r="BV84" s="10">
        <v>337</v>
      </c>
      <c r="BW84" s="10">
        <v>0</v>
      </c>
      <c r="BX84" s="10">
        <v>366.99</v>
      </c>
      <c r="BY84" s="10">
        <v>0</v>
      </c>
      <c r="BZ84" s="10">
        <v>0</v>
      </c>
      <c r="CA84" s="10">
        <v>0</v>
      </c>
    </row>
    <row r="85" spans="1:79" x14ac:dyDescent="0.3">
      <c r="A85" s="7" t="s">
        <v>162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</row>
    <row r="86" spans="1:79" x14ac:dyDescent="0.3">
      <c r="A86" s="9" t="s">
        <v>163</v>
      </c>
      <c r="B86" s="10">
        <v>1266.6500000000001</v>
      </c>
      <c r="C86" s="10">
        <v>1337.05</v>
      </c>
      <c r="D86" s="10">
        <v>1400.26</v>
      </c>
      <c r="E86" s="10">
        <v>1783.95</v>
      </c>
      <c r="F86" s="10">
        <v>1446.16</v>
      </c>
      <c r="G86" s="10">
        <v>1465.16</v>
      </c>
      <c r="H86" s="10">
        <v>2275.4499999999998</v>
      </c>
      <c r="I86" s="10">
        <v>1459.41</v>
      </c>
      <c r="J86" s="10">
        <v>2682.1</v>
      </c>
      <c r="K86" s="10">
        <v>2759.28</v>
      </c>
      <c r="L86" s="10">
        <v>2377.88</v>
      </c>
      <c r="M86" s="10">
        <v>3163.38</v>
      </c>
      <c r="N86" s="10">
        <v>2613.7199999999998</v>
      </c>
      <c r="O86" s="10">
        <v>2933.41</v>
      </c>
      <c r="P86" s="10">
        <v>3632.39</v>
      </c>
      <c r="Q86" s="10">
        <v>2786.94</v>
      </c>
      <c r="R86" s="10">
        <v>2138</v>
      </c>
      <c r="S86" s="10">
        <v>2748.96</v>
      </c>
      <c r="T86" s="10">
        <v>2022.61</v>
      </c>
      <c r="U86" s="10">
        <v>2549.38</v>
      </c>
      <c r="V86" s="10">
        <v>2051.6799999999998</v>
      </c>
      <c r="W86" s="10">
        <v>2079.2600000000002</v>
      </c>
      <c r="X86" s="10">
        <v>2131.8000000000002</v>
      </c>
      <c r="Y86" s="10">
        <v>3824.76</v>
      </c>
      <c r="Z86" s="10">
        <v>1958.43</v>
      </c>
      <c r="AA86" s="10">
        <v>2894.34</v>
      </c>
      <c r="AB86" s="10">
        <v>3854.24</v>
      </c>
      <c r="AC86" s="10">
        <v>3368.3</v>
      </c>
      <c r="AD86" s="10">
        <v>3608.67</v>
      </c>
      <c r="AE86" s="10">
        <v>5145.7</v>
      </c>
      <c r="AF86" s="10">
        <v>3853.8</v>
      </c>
      <c r="AG86" s="10">
        <v>4540.43</v>
      </c>
      <c r="AH86" s="10">
        <v>3155.7</v>
      </c>
      <c r="AI86" s="10">
        <v>2315.2800000000002</v>
      </c>
      <c r="AJ86" s="10">
        <v>3602.65</v>
      </c>
      <c r="AK86" s="10">
        <v>3783.51</v>
      </c>
      <c r="AL86" s="10">
        <v>4084.38</v>
      </c>
      <c r="AM86" s="10">
        <v>3987.37</v>
      </c>
      <c r="AN86" s="10">
        <v>5493.03</v>
      </c>
      <c r="AO86" s="10">
        <v>4260.38</v>
      </c>
      <c r="AP86" s="10">
        <v>4725.1000000000004</v>
      </c>
      <c r="AQ86" s="10">
        <v>3312.68</v>
      </c>
      <c r="AR86" s="10">
        <v>4265.01</v>
      </c>
      <c r="AS86" s="10">
        <v>5702.38</v>
      </c>
      <c r="AT86" s="10">
        <v>4878.68</v>
      </c>
      <c r="AU86" s="10">
        <v>4878.68</v>
      </c>
      <c r="AV86" s="10">
        <v>6098.35</v>
      </c>
      <c r="AW86" s="10">
        <v>8029.74</v>
      </c>
      <c r="AX86" s="10">
        <v>6736.48</v>
      </c>
      <c r="AY86" s="10">
        <v>6796.78</v>
      </c>
      <c r="AZ86" s="10">
        <v>7438.06</v>
      </c>
      <c r="BA86" s="10">
        <v>7895.96</v>
      </c>
      <c r="BB86" s="10">
        <v>9381.2099999999991</v>
      </c>
      <c r="BC86" s="10">
        <v>8058.35</v>
      </c>
      <c r="BD86" s="10">
        <v>8088.52</v>
      </c>
      <c r="BE86" s="10">
        <v>11503.58</v>
      </c>
      <c r="BF86" s="10">
        <v>9713.35</v>
      </c>
      <c r="BG86" s="10">
        <v>8654.7900000000009</v>
      </c>
      <c r="BH86" s="10">
        <v>6122.72</v>
      </c>
      <c r="BI86" s="10">
        <v>7473.24</v>
      </c>
      <c r="BJ86" s="10">
        <v>5942.03</v>
      </c>
      <c r="BK86" s="10">
        <v>7001.55</v>
      </c>
      <c r="BL86" s="10">
        <v>9233.4</v>
      </c>
      <c r="BM86" s="10">
        <v>6743.59</v>
      </c>
      <c r="BN86" s="10">
        <v>6515.89</v>
      </c>
      <c r="BO86" s="10">
        <v>6567.4</v>
      </c>
      <c r="BP86" s="10">
        <v>1</v>
      </c>
      <c r="BQ86" s="10">
        <v>0</v>
      </c>
      <c r="BR86" s="10">
        <v>0.02</v>
      </c>
      <c r="BS86" s="10">
        <v>-1</v>
      </c>
      <c r="BT86" s="10">
        <v>0</v>
      </c>
      <c r="BU86" s="10">
        <v>0</v>
      </c>
      <c r="BV86" s="10">
        <v>0</v>
      </c>
      <c r="BW86" s="10">
        <v>0</v>
      </c>
      <c r="BX86" s="10">
        <v>3</v>
      </c>
      <c r="BY86" s="10">
        <v>7125.4</v>
      </c>
      <c r="BZ86" s="10">
        <v>7227.11</v>
      </c>
      <c r="CA86" s="10">
        <v>8934.48</v>
      </c>
    </row>
    <row r="87" spans="1:79" x14ac:dyDescent="0.3">
      <c r="A87" s="9" t="s">
        <v>164</v>
      </c>
      <c r="B87" s="10">
        <v>13333.33</v>
      </c>
      <c r="C87" s="10">
        <v>14074.51</v>
      </c>
      <c r="D87" s="10">
        <v>15630.96</v>
      </c>
      <c r="E87" s="10">
        <v>19653.439999999999</v>
      </c>
      <c r="F87" s="10">
        <v>16027.84</v>
      </c>
      <c r="G87" s="10">
        <v>15993.16</v>
      </c>
      <c r="H87" s="10">
        <v>24198.71</v>
      </c>
      <c r="I87" s="10">
        <v>15410.57</v>
      </c>
      <c r="J87" s="10">
        <v>28585.31</v>
      </c>
      <c r="K87" s="10">
        <v>30836.48</v>
      </c>
      <c r="L87" s="10">
        <v>25692.639999999999</v>
      </c>
      <c r="M87" s="10">
        <v>34248.74</v>
      </c>
      <c r="N87" s="10">
        <v>29692.44</v>
      </c>
      <c r="O87" s="10">
        <v>31159.61</v>
      </c>
      <c r="P87" s="10">
        <v>40133.68</v>
      </c>
      <c r="Q87" s="10">
        <v>30778.97</v>
      </c>
      <c r="R87" s="10">
        <v>25408.09</v>
      </c>
      <c r="S87" s="10">
        <v>31546.27</v>
      </c>
      <c r="T87" s="10">
        <v>22227.05</v>
      </c>
      <c r="U87" s="10">
        <v>27725.24</v>
      </c>
      <c r="V87" s="10">
        <v>22014.23</v>
      </c>
      <c r="W87" s="10">
        <v>22062.78</v>
      </c>
      <c r="X87" s="10">
        <v>22824</v>
      </c>
      <c r="Y87" s="10">
        <v>42127.98</v>
      </c>
      <c r="Z87" s="10">
        <v>21431.93</v>
      </c>
      <c r="AA87" s="10">
        <v>30902.6</v>
      </c>
      <c r="AB87" s="10">
        <v>43611.48</v>
      </c>
      <c r="AC87" s="10">
        <v>36636.269999999997</v>
      </c>
      <c r="AD87" s="10">
        <v>40671.18</v>
      </c>
      <c r="AE87" s="10">
        <v>55794.6</v>
      </c>
      <c r="AF87" s="10">
        <v>39835.800000000003</v>
      </c>
      <c r="AG87" s="10">
        <v>47230.67</v>
      </c>
      <c r="AH87" s="10">
        <v>31909.97</v>
      </c>
      <c r="AI87" s="10">
        <v>23424.34</v>
      </c>
      <c r="AJ87" s="10">
        <v>36702.449999999997</v>
      </c>
      <c r="AK87" s="10">
        <v>38803.660000000003</v>
      </c>
      <c r="AL87" s="10">
        <v>44528.43</v>
      </c>
      <c r="AM87" s="10">
        <v>41774.67</v>
      </c>
      <c r="AN87" s="10">
        <v>56882.23</v>
      </c>
      <c r="AO87" s="10">
        <v>43616.01</v>
      </c>
      <c r="AP87" s="10">
        <v>49091.81</v>
      </c>
      <c r="AQ87" s="10">
        <v>34233.339999999997</v>
      </c>
      <c r="AR87" s="10">
        <v>42989.96</v>
      </c>
      <c r="AS87" s="10">
        <v>56023.51</v>
      </c>
      <c r="AT87" s="10">
        <v>47247.35</v>
      </c>
      <c r="AU87" s="10">
        <v>47934.73</v>
      </c>
      <c r="AV87" s="10">
        <v>61366.77</v>
      </c>
      <c r="AW87" s="10">
        <v>80493.63</v>
      </c>
      <c r="AX87" s="10">
        <v>76000.759999999995</v>
      </c>
      <c r="AY87" s="10">
        <v>79686.12</v>
      </c>
      <c r="AZ87" s="10">
        <v>91225.9</v>
      </c>
      <c r="BA87" s="10">
        <v>91151.14</v>
      </c>
      <c r="BB87" s="10">
        <v>103972.33</v>
      </c>
      <c r="BC87" s="10">
        <v>89893.7</v>
      </c>
      <c r="BD87" s="10">
        <v>86572.07</v>
      </c>
      <c r="BE87" s="10">
        <v>118202.76</v>
      </c>
      <c r="BF87" s="10">
        <v>101881.83</v>
      </c>
      <c r="BG87" s="10">
        <v>84758.59</v>
      </c>
      <c r="BH87" s="10">
        <v>57779.72</v>
      </c>
      <c r="BI87" s="10">
        <v>69912.850000000006</v>
      </c>
      <c r="BJ87" s="10">
        <v>55164.6</v>
      </c>
      <c r="BK87" s="10">
        <v>64192.4</v>
      </c>
      <c r="BL87" s="10">
        <v>85290.9</v>
      </c>
      <c r="BM87" s="10">
        <v>62073.79</v>
      </c>
      <c r="BN87" s="10">
        <v>61583.12</v>
      </c>
      <c r="BO87" s="10">
        <v>62064</v>
      </c>
      <c r="BP87" s="10">
        <v>0.67</v>
      </c>
      <c r="BQ87" s="10">
        <v>0</v>
      </c>
      <c r="BR87" s="10">
        <v>0</v>
      </c>
      <c r="BS87" s="10">
        <v>0</v>
      </c>
      <c r="BT87" s="10">
        <v>-0.01</v>
      </c>
      <c r="BU87" s="10">
        <v>0</v>
      </c>
      <c r="BV87" s="10">
        <v>0</v>
      </c>
      <c r="BW87" s="10">
        <v>0</v>
      </c>
      <c r="BX87" s="10">
        <v>0</v>
      </c>
      <c r="BY87" s="10">
        <v>65358.58</v>
      </c>
      <c r="BZ87" s="10">
        <v>64116.66</v>
      </c>
      <c r="CA87" s="10">
        <v>80138.070000000007</v>
      </c>
    </row>
    <row r="88" spans="1:79" x14ac:dyDescent="0.3">
      <c r="A88" s="9" t="s">
        <v>165</v>
      </c>
      <c r="B88" s="10">
        <v>-40.869999999999997</v>
      </c>
      <c r="C88" s="10">
        <v>928.5</v>
      </c>
      <c r="D88" s="10">
        <v>336.23</v>
      </c>
      <c r="E88" s="10">
        <v>1195.5899999999999</v>
      </c>
      <c r="F88" s="10">
        <v>723.51</v>
      </c>
      <c r="G88" s="10">
        <v>0</v>
      </c>
      <c r="H88" s="10">
        <v>461.68</v>
      </c>
      <c r="I88" s="10">
        <v>3366.47</v>
      </c>
      <c r="J88" s="10">
        <v>412.69</v>
      </c>
      <c r="K88" s="10">
        <v>0</v>
      </c>
      <c r="L88" s="10">
        <v>1461.59</v>
      </c>
      <c r="M88" s="10">
        <v>17.46</v>
      </c>
      <c r="N88" s="10">
        <v>171.69</v>
      </c>
      <c r="O88" s="10">
        <v>1735.72</v>
      </c>
      <c r="P88" s="10">
        <v>200.82</v>
      </c>
      <c r="Q88" s="10">
        <v>0</v>
      </c>
      <c r="R88" s="10">
        <v>0</v>
      </c>
      <c r="S88" s="10">
        <v>0</v>
      </c>
      <c r="T88" s="10">
        <v>144.86000000000001</v>
      </c>
      <c r="U88" s="10">
        <v>225.96</v>
      </c>
      <c r="V88" s="10">
        <v>0</v>
      </c>
      <c r="W88" s="10">
        <v>0</v>
      </c>
      <c r="X88" s="10">
        <v>82</v>
      </c>
      <c r="Y88" s="10">
        <v>0</v>
      </c>
      <c r="Z88" s="10">
        <v>3091.5</v>
      </c>
      <c r="AA88" s="10">
        <v>2763.5</v>
      </c>
      <c r="AB88" s="10">
        <v>86.28</v>
      </c>
      <c r="AC88" s="10">
        <v>-17.5</v>
      </c>
      <c r="AD88" s="10">
        <v>454.17</v>
      </c>
      <c r="AE88" s="10">
        <v>217.58</v>
      </c>
      <c r="AF88" s="10">
        <v>160.30000000000001</v>
      </c>
      <c r="AG88" s="10">
        <v>828.86</v>
      </c>
      <c r="AH88" s="10">
        <v>112.36</v>
      </c>
      <c r="AI88" s="10">
        <v>163.84</v>
      </c>
      <c r="AJ88" s="10">
        <v>63.64</v>
      </c>
      <c r="AK88" s="10">
        <v>0</v>
      </c>
      <c r="AL88" s="10">
        <v>0</v>
      </c>
      <c r="AM88" s="10">
        <v>121.1</v>
      </c>
      <c r="AN88" s="10">
        <v>0</v>
      </c>
      <c r="AO88" s="10">
        <v>125.63</v>
      </c>
      <c r="AP88" s="10">
        <v>150.09</v>
      </c>
      <c r="AQ88" s="10">
        <v>3113.81</v>
      </c>
      <c r="AR88" s="10">
        <v>7.27</v>
      </c>
      <c r="AS88" s="10">
        <v>86.27</v>
      </c>
      <c r="AT88" s="10">
        <v>200.5</v>
      </c>
      <c r="AU88" s="10">
        <v>155.44</v>
      </c>
      <c r="AV88" s="10">
        <v>0</v>
      </c>
      <c r="AW88" s="10">
        <v>0</v>
      </c>
      <c r="AX88" s="10">
        <v>146.72999999999999</v>
      </c>
      <c r="AY88" s="10">
        <v>1081.71</v>
      </c>
      <c r="AZ88" s="10">
        <v>682.48</v>
      </c>
      <c r="BA88" s="10">
        <v>8421.1299999999992</v>
      </c>
      <c r="BB88" s="10">
        <v>1502.75</v>
      </c>
      <c r="BC88" s="10">
        <v>1270.5899999999999</v>
      </c>
      <c r="BD88" s="10">
        <v>1685.37</v>
      </c>
      <c r="BE88" s="10">
        <v>99.99</v>
      </c>
      <c r="BF88" s="10">
        <v>385.51</v>
      </c>
      <c r="BG88" s="10">
        <v>2268.4299999999998</v>
      </c>
      <c r="BH88" s="10">
        <v>604.03</v>
      </c>
      <c r="BI88" s="10">
        <v>291.67</v>
      </c>
      <c r="BJ88" s="10">
        <v>-1130.5999999999999</v>
      </c>
      <c r="BK88" s="10">
        <v>2015.6</v>
      </c>
      <c r="BL88" s="10">
        <v>488.39</v>
      </c>
      <c r="BM88" s="10">
        <v>260.97000000000003</v>
      </c>
      <c r="BN88" s="10">
        <v>563.82000000000005</v>
      </c>
      <c r="BO88" s="10">
        <v>17.2</v>
      </c>
      <c r="BP88" s="10">
        <v>748.52</v>
      </c>
      <c r="BQ88" s="10">
        <v>11.91</v>
      </c>
      <c r="BR88" s="10">
        <v>873.85</v>
      </c>
      <c r="BS88" s="10">
        <v>3682.19</v>
      </c>
      <c r="BT88" s="10">
        <v>501.95</v>
      </c>
      <c r="BU88" s="10">
        <v>5350.15</v>
      </c>
      <c r="BV88" s="10">
        <v>980.14</v>
      </c>
      <c r="BW88" s="10">
        <v>2717.61</v>
      </c>
      <c r="BX88" s="10">
        <v>998.01</v>
      </c>
      <c r="BY88" s="10">
        <v>1602.41</v>
      </c>
      <c r="BZ88" s="10">
        <v>430.91</v>
      </c>
      <c r="CA88" s="10">
        <v>421.53</v>
      </c>
    </row>
    <row r="89" spans="1:79" x14ac:dyDescent="0.3">
      <c r="A89" s="9" t="s">
        <v>166</v>
      </c>
      <c r="B89" s="10">
        <v>341.5</v>
      </c>
      <c r="C89" s="10">
        <v>0</v>
      </c>
      <c r="D89" s="10">
        <v>0</v>
      </c>
      <c r="E89" s="10">
        <v>928.02</v>
      </c>
      <c r="F89" s="10">
        <v>0</v>
      </c>
      <c r="G89" s="10">
        <v>0</v>
      </c>
      <c r="H89" s="10">
        <v>762.78</v>
      </c>
      <c r="I89" s="10">
        <v>0</v>
      </c>
      <c r="J89" s="10">
        <v>0</v>
      </c>
      <c r="K89" s="10">
        <v>0</v>
      </c>
      <c r="L89" s="10">
        <v>806.19</v>
      </c>
      <c r="M89" s="10">
        <v>0</v>
      </c>
      <c r="N89" s="10">
        <v>0</v>
      </c>
      <c r="O89" s="10">
        <v>0</v>
      </c>
      <c r="P89" s="10">
        <v>0</v>
      </c>
      <c r="Q89" s="10">
        <v>796.31</v>
      </c>
      <c r="R89" s="10">
        <v>0</v>
      </c>
      <c r="S89" s="10">
        <v>1168.8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1660.99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3112.21</v>
      </c>
      <c r="AF89" s="10">
        <v>1037</v>
      </c>
      <c r="AG89" s="10">
        <v>1037</v>
      </c>
      <c r="AH89" s="10">
        <v>1037</v>
      </c>
      <c r="AI89" s="10">
        <v>-1841.65</v>
      </c>
      <c r="AJ89" s="10">
        <v>350</v>
      </c>
      <c r="AK89" s="10">
        <v>1057.75</v>
      </c>
      <c r="AL89" s="10">
        <v>450</v>
      </c>
      <c r="AM89" s="10">
        <v>3278.15</v>
      </c>
      <c r="AN89" s="10">
        <v>1037</v>
      </c>
      <c r="AO89" s="10">
        <v>3544.81</v>
      </c>
      <c r="AP89" s="10">
        <v>1037</v>
      </c>
      <c r="AQ89" s="10">
        <v>1037</v>
      </c>
      <c r="AR89" s="10">
        <v>2142.9899999999998</v>
      </c>
      <c r="AS89" s="10">
        <v>1037</v>
      </c>
      <c r="AT89" s="10">
        <v>1037</v>
      </c>
      <c r="AU89" s="10">
        <v>3524.24</v>
      </c>
      <c r="AV89" s="10">
        <v>1037</v>
      </c>
      <c r="AW89" s="10">
        <v>1037</v>
      </c>
      <c r="AX89" s="10">
        <v>1037</v>
      </c>
      <c r="AY89" s="10">
        <v>5430.29</v>
      </c>
      <c r="AZ89" s="10">
        <v>2074</v>
      </c>
      <c r="BA89" s="10">
        <v>2074</v>
      </c>
      <c r="BB89" s="10">
        <v>4987.1000000000004</v>
      </c>
      <c r="BC89" s="10">
        <v>1037</v>
      </c>
      <c r="BD89" s="10">
        <v>1037</v>
      </c>
      <c r="BE89" s="10">
        <v>1037</v>
      </c>
      <c r="BF89" s="10">
        <v>6184.87</v>
      </c>
      <c r="BG89" s="10">
        <v>6408.16</v>
      </c>
      <c r="BH89" s="10">
        <v>1037</v>
      </c>
      <c r="BI89" s="10">
        <v>1037</v>
      </c>
      <c r="BJ89" s="10">
        <v>4589.01</v>
      </c>
      <c r="BK89" s="10">
        <v>1037</v>
      </c>
      <c r="BL89" s="10">
        <v>1037</v>
      </c>
      <c r="BM89" s="10">
        <v>1037</v>
      </c>
      <c r="BN89" s="10">
        <v>4224.97</v>
      </c>
      <c r="BO89" s="10">
        <v>1037</v>
      </c>
      <c r="BP89" s="10">
        <v>3704.98</v>
      </c>
      <c r="BQ89" s="10">
        <v>1037</v>
      </c>
      <c r="BR89" s="10">
        <v>1037</v>
      </c>
      <c r="BS89" s="10">
        <v>4088.76</v>
      </c>
      <c r="BT89" s="10">
        <v>1037</v>
      </c>
      <c r="BU89" s="10">
        <v>1037</v>
      </c>
      <c r="BV89" s="10">
        <v>4631.49</v>
      </c>
      <c r="BW89" s="10">
        <v>1037</v>
      </c>
      <c r="BX89" s="10">
        <v>1037</v>
      </c>
      <c r="BY89" s="10">
        <v>0</v>
      </c>
      <c r="BZ89" s="10">
        <v>3786.37</v>
      </c>
      <c r="CA89" s="10">
        <v>0</v>
      </c>
    </row>
    <row r="90" spans="1:79" x14ac:dyDescent="0.3">
      <c r="A90" s="9" t="s">
        <v>167</v>
      </c>
      <c r="B90" s="10">
        <v>0</v>
      </c>
      <c r="C90" s="10">
        <v>0</v>
      </c>
      <c r="D90" s="10">
        <v>0</v>
      </c>
      <c r="E90" s="10">
        <v>0</v>
      </c>
      <c r="F90" s="10">
        <v>492.13</v>
      </c>
      <c r="G90" s="10">
        <v>0</v>
      </c>
      <c r="H90" s="10">
        <v>0</v>
      </c>
      <c r="I90" s="10">
        <v>0</v>
      </c>
      <c r="J90" s="10">
        <v>503.96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4642.0200000000004</v>
      </c>
      <c r="R90" s="10">
        <v>0</v>
      </c>
      <c r="S90" s="10">
        <v>2204.4699999999998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3170.38</v>
      </c>
      <c r="AB90" s="10">
        <v>0</v>
      </c>
      <c r="AC90" s="10">
        <v>4239.5</v>
      </c>
      <c r="AD90" s="10">
        <v>0</v>
      </c>
      <c r="AE90" s="10">
        <v>2043.62</v>
      </c>
      <c r="AF90" s="10">
        <v>681</v>
      </c>
      <c r="AG90" s="10">
        <v>681</v>
      </c>
      <c r="AH90" s="10">
        <v>681</v>
      </c>
      <c r="AI90" s="10">
        <v>681</v>
      </c>
      <c r="AJ90" s="10">
        <v>4423.43</v>
      </c>
      <c r="AK90" s="10">
        <v>681</v>
      </c>
      <c r="AL90" s="10">
        <v>2736.74</v>
      </c>
      <c r="AM90" s="10">
        <v>681</v>
      </c>
      <c r="AN90" s="10">
        <v>2723.53</v>
      </c>
      <c r="AO90" s="10">
        <v>-6129</v>
      </c>
      <c r="AP90" s="10">
        <v>2029.43</v>
      </c>
      <c r="AQ90" s="10">
        <v>0</v>
      </c>
      <c r="AR90" s="10">
        <v>681</v>
      </c>
      <c r="AS90" s="10">
        <v>681</v>
      </c>
      <c r="AT90" s="10">
        <v>681</v>
      </c>
      <c r="AU90" s="10">
        <v>2293.91</v>
      </c>
      <c r="AV90" s="10">
        <v>681</v>
      </c>
      <c r="AW90" s="10">
        <v>4307.93</v>
      </c>
      <c r="AX90" s="10">
        <v>681</v>
      </c>
      <c r="AY90" s="10">
        <v>1362</v>
      </c>
      <c r="AZ90" s="10">
        <v>4160.6499999999996</v>
      </c>
      <c r="BA90" s="10">
        <v>1362</v>
      </c>
      <c r="BB90" s="10">
        <v>12524.82</v>
      </c>
      <c r="BC90" s="10">
        <v>681</v>
      </c>
      <c r="BD90" s="10">
        <v>681</v>
      </c>
      <c r="BE90" s="10">
        <v>681</v>
      </c>
      <c r="BF90" s="10">
        <v>681</v>
      </c>
      <c r="BG90" s="10">
        <v>4341.18</v>
      </c>
      <c r="BH90" s="10">
        <v>681</v>
      </c>
      <c r="BI90" s="10">
        <v>681</v>
      </c>
      <c r="BJ90" s="10">
        <v>4909.8599999999997</v>
      </c>
      <c r="BK90" s="10">
        <v>681</v>
      </c>
      <c r="BL90" s="10">
        <v>4341.18</v>
      </c>
      <c r="BM90" s="10">
        <v>681</v>
      </c>
      <c r="BN90" s="10">
        <v>4375.6400000000003</v>
      </c>
      <c r="BO90" s="10">
        <v>681</v>
      </c>
      <c r="BP90" s="10">
        <v>4337.26</v>
      </c>
      <c r="BQ90" s="10">
        <v>681</v>
      </c>
      <c r="BR90" s="10">
        <v>681</v>
      </c>
      <c r="BS90" s="10">
        <v>681</v>
      </c>
      <c r="BT90" s="10">
        <v>681</v>
      </c>
      <c r="BU90" s="10">
        <v>12834.14</v>
      </c>
      <c r="BV90" s="10">
        <v>681</v>
      </c>
      <c r="BW90" s="10">
        <v>12968.79</v>
      </c>
      <c r="BX90" s="10">
        <v>800.92</v>
      </c>
      <c r="BY90" s="10">
        <v>0</v>
      </c>
      <c r="BZ90" s="10">
        <v>0</v>
      </c>
      <c r="CA90" s="10">
        <v>12287.81</v>
      </c>
    </row>
    <row r="91" spans="1:79" x14ac:dyDescent="0.3">
      <c r="A91" s="9" t="s">
        <v>168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400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250</v>
      </c>
      <c r="W91" s="10">
        <v>0</v>
      </c>
      <c r="X91" s="10">
        <v>0</v>
      </c>
      <c r="Y91" s="10">
        <v>0</v>
      </c>
      <c r="Z91" s="10">
        <v>-400</v>
      </c>
      <c r="AA91" s="10">
        <v>16</v>
      </c>
      <c r="AB91" s="10">
        <v>54.65</v>
      </c>
      <c r="AC91" s="10">
        <v>53.49</v>
      </c>
      <c r="AD91" s="10">
        <v>117.36</v>
      </c>
      <c r="AE91" s="10">
        <v>34.29</v>
      </c>
      <c r="AF91" s="10">
        <v>70.239999999999995</v>
      </c>
      <c r="AG91" s="10">
        <v>0</v>
      </c>
      <c r="AH91" s="10">
        <v>6.95</v>
      </c>
      <c r="AI91" s="10">
        <v>34.82</v>
      </c>
      <c r="AJ91" s="10">
        <v>17.329999999999998</v>
      </c>
      <c r="AK91" s="10">
        <v>59.16</v>
      </c>
      <c r="AL91" s="10">
        <v>0</v>
      </c>
      <c r="AM91" s="10">
        <v>0</v>
      </c>
      <c r="AN91" s="10">
        <v>0</v>
      </c>
      <c r="AO91" s="10">
        <v>0</v>
      </c>
      <c r="AP91" s="10">
        <v>234.17</v>
      </c>
      <c r="AQ91" s="10">
        <v>0</v>
      </c>
      <c r="AR91" s="10">
        <v>0</v>
      </c>
      <c r="AS91" s="10">
        <v>20.329999999999998</v>
      </c>
      <c r="AT91" s="10">
        <v>0</v>
      </c>
      <c r="AU91" s="10">
        <v>49.74</v>
      </c>
      <c r="AV91" s="10">
        <v>0</v>
      </c>
      <c r="AW91" s="10">
        <v>0</v>
      </c>
      <c r="AX91" s="10">
        <v>0</v>
      </c>
      <c r="AY91" s="10">
        <v>0</v>
      </c>
      <c r="AZ91" s="10">
        <v>88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32.76</v>
      </c>
      <c r="BO91" s="10">
        <v>0</v>
      </c>
      <c r="BP91" s="10">
        <v>8.4</v>
      </c>
      <c r="BQ91" s="10">
        <v>11.6</v>
      </c>
      <c r="BR91" s="10">
        <v>14.15</v>
      </c>
      <c r="BS91" s="10">
        <v>0</v>
      </c>
      <c r="BT91" s="10">
        <v>8.5500000000000007</v>
      </c>
      <c r="BU91" s="10">
        <v>0</v>
      </c>
      <c r="BV91" s="10">
        <v>362.6</v>
      </c>
      <c r="BW91" s="10">
        <v>72.45</v>
      </c>
      <c r="BX91" s="10">
        <v>0</v>
      </c>
      <c r="BY91" s="10">
        <v>0</v>
      </c>
      <c r="BZ91" s="10">
        <v>0</v>
      </c>
      <c r="CA91" s="10">
        <v>0</v>
      </c>
    </row>
    <row r="92" spans="1:79" x14ac:dyDescent="0.3">
      <c r="A92" s="9" t="s">
        <v>169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48343.199999999997</v>
      </c>
      <c r="AF92" s="10">
        <v>1847.63</v>
      </c>
      <c r="AG92" s="10">
        <v>2212.73</v>
      </c>
      <c r="AH92" s="10">
        <v>2852</v>
      </c>
      <c r="AI92" s="10">
        <v>2804</v>
      </c>
      <c r="AJ92" s="10">
        <v>1024</v>
      </c>
      <c r="AK92" s="10">
        <v>459</v>
      </c>
      <c r="AL92" s="10">
        <v>-3547</v>
      </c>
      <c r="AM92" s="10">
        <v>1814</v>
      </c>
      <c r="AN92" s="10">
        <v>2594</v>
      </c>
      <c r="AO92" s="10">
        <v>8297</v>
      </c>
      <c r="AP92" s="10">
        <v>3187</v>
      </c>
      <c r="AQ92" s="10">
        <v>802</v>
      </c>
      <c r="AR92" s="10">
        <v>6449</v>
      </c>
      <c r="AS92" s="10">
        <v>2852</v>
      </c>
      <c r="AT92" s="10">
        <v>3706</v>
      </c>
      <c r="AU92" s="10">
        <v>2105</v>
      </c>
      <c r="AV92" s="10">
        <v>1483</v>
      </c>
      <c r="AW92" s="10">
        <v>-7689</v>
      </c>
      <c r="AX92" s="10">
        <v>-9164</v>
      </c>
      <c r="AY92" s="10">
        <v>4384</v>
      </c>
      <c r="AZ92" s="10">
        <v>1499</v>
      </c>
      <c r="BA92" s="10">
        <v>1337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</row>
    <row r="93" spans="1:79" x14ac:dyDescent="0.3">
      <c r="A93" s="9" t="s">
        <v>170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1399.22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264.3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625.08000000000004</v>
      </c>
    </row>
    <row r="94" spans="1:79" x14ac:dyDescent="0.3">
      <c r="A94" s="9" t="s">
        <v>171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1765.5</v>
      </c>
      <c r="BM94" s="10">
        <v>3531</v>
      </c>
      <c r="BN94" s="10">
        <v>3531</v>
      </c>
      <c r="BO94" s="10">
        <v>3531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</row>
    <row r="95" spans="1:79" x14ac:dyDescent="0.3">
      <c r="A95" s="9" t="s">
        <v>172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3731</v>
      </c>
      <c r="BF95" s="10">
        <v>0</v>
      </c>
      <c r="BG95" s="10">
        <v>3969</v>
      </c>
      <c r="BH95" s="10">
        <v>1839.09</v>
      </c>
      <c r="BI95" s="10">
        <v>3969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</row>
    <row r="96" spans="1:79" x14ac:dyDescent="0.3">
      <c r="A96" s="9" t="s">
        <v>173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500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</row>
    <row r="97" spans="1:79" x14ac:dyDescent="0.3">
      <c r="A97" s="11" t="s">
        <v>174</v>
      </c>
      <c r="B97" s="6">
        <f t="shared" ref="B97:AG97" si="39">SUM(B86:B96)</f>
        <v>14900.609999999999</v>
      </c>
      <c r="C97" s="6">
        <f t="shared" si="39"/>
        <v>16340.06</v>
      </c>
      <c r="D97" s="6">
        <f t="shared" si="39"/>
        <v>17367.449999999997</v>
      </c>
      <c r="E97" s="6">
        <f t="shared" si="39"/>
        <v>23561</v>
      </c>
      <c r="F97" s="6">
        <f t="shared" si="39"/>
        <v>18689.64</v>
      </c>
      <c r="G97" s="6">
        <f t="shared" si="39"/>
        <v>17458.32</v>
      </c>
      <c r="H97" s="6">
        <f t="shared" si="39"/>
        <v>27698.62</v>
      </c>
      <c r="I97" s="6">
        <f t="shared" si="39"/>
        <v>20236.45</v>
      </c>
      <c r="J97" s="6">
        <f t="shared" si="39"/>
        <v>32184.059999999998</v>
      </c>
      <c r="K97" s="6">
        <f t="shared" si="39"/>
        <v>33595.760000000002</v>
      </c>
      <c r="L97" s="6">
        <f t="shared" si="39"/>
        <v>30338.3</v>
      </c>
      <c r="M97" s="6">
        <f t="shared" si="39"/>
        <v>37829.579999999994</v>
      </c>
      <c r="N97" s="6">
        <f t="shared" si="39"/>
        <v>32477.85</v>
      </c>
      <c r="O97" s="6">
        <f t="shared" si="39"/>
        <v>35828.740000000005</v>
      </c>
      <c r="P97" s="6">
        <f t="shared" si="39"/>
        <v>43966.89</v>
      </c>
      <c r="Q97" s="6">
        <f t="shared" si="39"/>
        <v>39004.240000000005</v>
      </c>
      <c r="R97" s="6">
        <f t="shared" si="39"/>
        <v>27546.09</v>
      </c>
      <c r="S97" s="6">
        <f t="shared" si="39"/>
        <v>37668.500000000007</v>
      </c>
      <c r="T97" s="6">
        <f t="shared" si="39"/>
        <v>24394.52</v>
      </c>
      <c r="U97" s="6">
        <f t="shared" si="39"/>
        <v>30500.58</v>
      </c>
      <c r="V97" s="6">
        <f t="shared" si="39"/>
        <v>24315.91</v>
      </c>
      <c r="W97" s="6">
        <f t="shared" si="39"/>
        <v>24142.04</v>
      </c>
      <c r="X97" s="6">
        <f t="shared" si="39"/>
        <v>25037.8</v>
      </c>
      <c r="Y97" s="6">
        <f t="shared" si="39"/>
        <v>47613.73</v>
      </c>
      <c r="Z97" s="6">
        <f t="shared" si="39"/>
        <v>26081.86</v>
      </c>
      <c r="AA97" s="6">
        <f t="shared" si="39"/>
        <v>39746.82</v>
      </c>
      <c r="AB97" s="6">
        <f t="shared" si="39"/>
        <v>47606.65</v>
      </c>
      <c r="AC97" s="6">
        <f t="shared" si="39"/>
        <v>44280.06</v>
      </c>
      <c r="AD97" s="6">
        <f t="shared" si="39"/>
        <v>44851.38</v>
      </c>
      <c r="AE97" s="6">
        <f t="shared" si="39"/>
        <v>114691.19999999998</v>
      </c>
      <c r="AF97" s="6">
        <f t="shared" si="39"/>
        <v>47485.770000000004</v>
      </c>
      <c r="AG97" s="6">
        <f t="shared" si="39"/>
        <v>56530.69</v>
      </c>
      <c r="AH97" s="6">
        <f t="shared" ref="AH97:BM97" si="40">SUM(AH86:AH96)</f>
        <v>39754.979999999996</v>
      </c>
      <c r="AI97" s="6">
        <f t="shared" si="40"/>
        <v>27581.629999999997</v>
      </c>
      <c r="AJ97" s="6">
        <f t="shared" si="40"/>
        <v>46183.5</v>
      </c>
      <c r="AK97" s="6">
        <f t="shared" si="40"/>
        <v>44844.080000000009</v>
      </c>
      <c r="AL97" s="6">
        <f t="shared" si="40"/>
        <v>48252.549999999996</v>
      </c>
      <c r="AM97" s="6">
        <f t="shared" si="40"/>
        <v>51656.29</v>
      </c>
      <c r="AN97" s="6">
        <f t="shared" si="40"/>
        <v>68729.790000000008</v>
      </c>
      <c r="AO97" s="6">
        <f t="shared" si="40"/>
        <v>53714.829999999994</v>
      </c>
      <c r="AP97" s="6">
        <f t="shared" si="40"/>
        <v>60454.599999999991</v>
      </c>
      <c r="AQ97" s="6">
        <f t="shared" si="40"/>
        <v>42498.829999999994</v>
      </c>
      <c r="AR97" s="6">
        <f t="shared" si="40"/>
        <v>56535.229999999996</v>
      </c>
      <c r="AS97" s="6">
        <f t="shared" si="40"/>
        <v>66402.489999999991</v>
      </c>
      <c r="AT97" s="6">
        <f t="shared" si="40"/>
        <v>57750.53</v>
      </c>
      <c r="AU97" s="6">
        <f t="shared" si="40"/>
        <v>60941.74</v>
      </c>
      <c r="AV97" s="6">
        <f t="shared" si="40"/>
        <v>70666.12</v>
      </c>
      <c r="AW97" s="6">
        <f t="shared" si="40"/>
        <v>86179.300000000017</v>
      </c>
      <c r="AX97" s="6">
        <f t="shared" si="40"/>
        <v>75437.969999999987</v>
      </c>
      <c r="AY97" s="6">
        <f t="shared" si="40"/>
        <v>98740.9</v>
      </c>
      <c r="AZ97" s="6">
        <f t="shared" si="40"/>
        <v>107168.08999999998</v>
      </c>
      <c r="BA97" s="6">
        <f t="shared" si="40"/>
        <v>113640.45000000001</v>
      </c>
      <c r="BB97" s="6">
        <f t="shared" si="40"/>
        <v>132368.21000000002</v>
      </c>
      <c r="BC97" s="6">
        <f t="shared" si="40"/>
        <v>100940.64</v>
      </c>
      <c r="BD97" s="6">
        <f t="shared" si="40"/>
        <v>98063.96</v>
      </c>
      <c r="BE97" s="6">
        <f t="shared" si="40"/>
        <v>135255.33000000002</v>
      </c>
      <c r="BF97" s="6">
        <f t="shared" si="40"/>
        <v>118846.56</v>
      </c>
      <c r="BG97" s="6">
        <f t="shared" si="40"/>
        <v>110400.15</v>
      </c>
      <c r="BH97" s="6">
        <f t="shared" si="40"/>
        <v>68063.56</v>
      </c>
      <c r="BI97" s="6">
        <f t="shared" si="40"/>
        <v>83364.760000000009</v>
      </c>
      <c r="BJ97" s="6">
        <f t="shared" si="40"/>
        <v>69739.199999999997</v>
      </c>
      <c r="BK97" s="6">
        <f t="shared" si="40"/>
        <v>74927.55</v>
      </c>
      <c r="BL97" s="6">
        <f t="shared" si="40"/>
        <v>102156.37</v>
      </c>
      <c r="BM97" s="6">
        <f t="shared" si="40"/>
        <v>74327.350000000006</v>
      </c>
      <c r="BN97" s="6">
        <f t="shared" ref="BN97:CA97" si="41">SUM(BN86:BN96)</f>
        <v>80827.200000000012</v>
      </c>
      <c r="BO97" s="6">
        <f t="shared" si="41"/>
        <v>73897.599999999991</v>
      </c>
      <c r="BP97" s="6">
        <f t="shared" si="41"/>
        <v>8800.83</v>
      </c>
      <c r="BQ97" s="6">
        <f t="shared" si="41"/>
        <v>1741.51</v>
      </c>
      <c r="BR97" s="6">
        <f t="shared" si="41"/>
        <v>3106.02</v>
      </c>
      <c r="BS97" s="6">
        <f t="shared" si="41"/>
        <v>8450.9500000000007</v>
      </c>
      <c r="BT97" s="6">
        <f t="shared" si="41"/>
        <v>2228.4900000000002</v>
      </c>
      <c r="BU97" s="6">
        <f t="shared" si="41"/>
        <v>19221.29</v>
      </c>
      <c r="BV97" s="6">
        <f t="shared" si="41"/>
        <v>6655.2300000000005</v>
      </c>
      <c r="BW97" s="6">
        <f t="shared" si="41"/>
        <v>16795.850000000002</v>
      </c>
      <c r="BX97" s="6">
        <f t="shared" si="41"/>
        <v>2838.93</v>
      </c>
      <c r="BY97" s="6">
        <f t="shared" si="41"/>
        <v>74086.39</v>
      </c>
      <c r="BZ97" s="6">
        <f t="shared" si="41"/>
        <v>75561.05</v>
      </c>
      <c r="CA97" s="6">
        <f t="shared" si="41"/>
        <v>102406.97</v>
      </c>
    </row>
    <row r="98" spans="1:79" x14ac:dyDescent="0.3">
      <c r="A98" s="7" t="s">
        <v>175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</row>
    <row r="99" spans="1:79" x14ac:dyDescent="0.3">
      <c r="A99" s="9" t="s">
        <v>176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66.819999999999993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64.44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63.38</v>
      </c>
      <c r="AL99" s="10">
        <v>0</v>
      </c>
      <c r="AM99" s="10">
        <v>0</v>
      </c>
      <c r="AN99" s="10">
        <v>100.02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2346.59</v>
      </c>
      <c r="BA99" s="10">
        <v>33.520000000000003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9.86</v>
      </c>
      <c r="BU99" s="10">
        <v>87.26</v>
      </c>
      <c r="BV99" s="10">
        <v>0</v>
      </c>
      <c r="BW99" s="10">
        <v>0</v>
      </c>
      <c r="BX99" s="10">
        <v>0</v>
      </c>
      <c r="BY99" s="10">
        <v>37.92</v>
      </c>
      <c r="BZ99" s="10">
        <v>0</v>
      </c>
      <c r="CA99" s="10">
        <v>0</v>
      </c>
    </row>
    <row r="100" spans="1:79" x14ac:dyDescent="0.3">
      <c r="A100" s="12" t="s">
        <v>177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13837.59</v>
      </c>
      <c r="BY100" s="10">
        <v>0</v>
      </c>
      <c r="BZ100" s="10">
        <v>0</v>
      </c>
      <c r="CA100" s="10">
        <v>0</v>
      </c>
    </row>
    <row r="101" spans="1:79" x14ac:dyDescent="0.3">
      <c r="A101" s="5" t="s">
        <v>178</v>
      </c>
      <c r="B101" s="6">
        <f t="shared" ref="B101:AG101" si="42">SUM(B42,B46,B58,B63,B69,B76,B82,B97,B65,B78,B84,B99:B100)</f>
        <v>27362.42</v>
      </c>
      <c r="C101" s="6">
        <f t="shared" si="42"/>
        <v>24337.19</v>
      </c>
      <c r="D101" s="6">
        <f t="shared" si="42"/>
        <v>30557.329999999998</v>
      </c>
      <c r="E101" s="6">
        <f t="shared" si="42"/>
        <v>32569.23</v>
      </c>
      <c r="F101" s="6">
        <f t="shared" si="42"/>
        <v>27644.46</v>
      </c>
      <c r="G101" s="6">
        <f t="shared" si="42"/>
        <v>30102.21</v>
      </c>
      <c r="H101" s="6">
        <f t="shared" si="42"/>
        <v>37893.85</v>
      </c>
      <c r="I101" s="6">
        <f t="shared" si="42"/>
        <v>32153.34</v>
      </c>
      <c r="J101" s="6">
        <f t="shared" si="42"/>
        <v>40914.789999999994</v>
      </c>
      <c r="K101" s="6">
        <f t="shared" si="42"/>
        <v>47906.07</v>
      </c>
      <c r="L101" s="6">
        <f t="shared" si="42"/>
        <v>41982.09</v>
      </c>
      <c r="M101" s="6">
        <f t="shared" si="42"/>
        <v>47427.939999999995</v>
      </c>
      <c r="N101" s="6">
        <f t="shared" si="42"/>
        <v>57911.89</v>
      </c>
      <c r="O101" s="6">
        <f t="shared" si="42"/>
        <v>50755.240000000005</v>
      </c>
      <c r="P101" s="6">
        <f t="shared" si="42"/>
        <v>57635.94</v>
      </c>
      <c r="Q101" s="6">
        <f t="shared" si="42"/>
        <v>49431.490000000005</v>
      </c>
      <c r="R101" s="6">
        <f t="shared" si="42"/>
        <v>35823.240000000005</v>
      </c>
      <c r="S101" s="6">
        <f t="shared" si="42"/>
        <v>44113.100000000013</v>
      </c>
      <c r="T101" s="6">
        <f t="shared" si="42"/>
        <v>37234.199999999997</v>
      </c>
      <c r="U101" s="6">
        <f t="shared" si="42"/>
        <v>39421.53</v>
      </c>
      <c r="V101" s="6">
        <f t="shared" si="42"/>
        <v>33997.980000000003</v>
      </c>
      <c r="W101" s="6">
        <f t="shared" si="42"/>
        <v>34717.99</v>
      </c>
      <c r="X101" s="6">
        <f t="shared" si="42"/>
        <v>35003.519999999997</v>
      </c>
      <c r="Y101" s="6">
        <f t="shared" si="42"/>
        <v>54796.390000000007</v>
      </c>
      <c r="Z101" s="6">
        <f t="shared" si="42"/>
        <v>37082.32</v>
      </c>
      <c r="AA101" s="6">
        <f t="shared" si="42"/>
        <v>47879.89</v>
      </c>
      <c r="AB101" s="6">
        <f t="shared" si="42"/>
        <v>68969.37</v>
      </c>
      <c r="AC101" s="6">
        <f t="shared" si="42"/>
        <v>49405.7</v>
      </c>
      <c r="AD101" s="6">
        <f t="shared" si="42"/>
        <v>58494.04</v>
      </c>
      <c r="AE101" s="6">
        <f t="shared" si="42"/>
        <v>131861.83999999997</v>
      </c>
      <c r="AF101" s="6">
        <f t="shared" si="42"/>
        <v>61400.350000000006</v>
      </c>
      <c r="AG101" s="6">
        <f t="shared" si="42"/>
        <v>73186.39</v>
      </c>
      <c r="AH101" s="6">
        <f t="shared" ref="AH101:BM101" si="43">SUM(AH42,AH46,AH58,AH63,AH69,AH76,AH82,AH97,AH65,AH78,AH84,AH99:AH100)</f>
        <v>51178.45</v>
      </c>
      <c r="AI101" s="6">
        <f t="shared" si="43"/>
        <v>40659.42</v>
      </c>
      <c r="AJ101" s="6">
        <f t="shared" si="43"/>
        <v>59377.15</v>
      </c>
      <c r="AK101" s="6">
        <f t="shared" si="43"/>
        <v>57712.180000000008</v>
      </c>
      <c r="AL101" s="6">
        <f t="shared" si="43"/>
        <v>59398.319999999992</v>
      </c>
      <c r="AM101" s="6">
        <f t="shared" si="43"/>
        <v>71406.42</v>
      </c>
      <c r="AN101" s="6">
        <f t="shared" si="43"/>
        <v>84200.160000000018</v>
      </c>
      <c r="AO101" s="6">
        <f t="shared" si="43"/>
        <v>67075.329999999987</v>
      </c>
      <c r="AP101" s="6">
        <f t="shared" si="43"/>
        <v>78423.189999999988</v>
      </c>
      <c r="AQ101" s="6">
        <f t="shared" si="43"/>
        <v>55874.02</v>
      </c>
      <c r="AR101" s="6">
        <f t="shared" si="43"/>
        <v>69803.180000000008</v>
      </c>
      <c r="AS101" s="6">
        <f t="shared" si="43"/>
        <v>80371.699999999983</v>
      </c>
      <c r="AT101" s="6">
        <f t="shared" si="43"/>
        <v>72718.3</v>
      </c>
      <c r="AU101" s="6">
        <f t="shared" si="43"/>
        <v>75258.549999999988</v>
      </c>
      <c r="AV101" s="6">
        <f t="shared" si="43"/>
        <v>85901.31</v>
      </c>
      <c r="AW101" s="6">
        <f t="shared" si="43"/>
        <v>99388.360000000015</v>
      </c>
      <c r="AX101" s="6">
        <f t="shared" si="43"/>
        <v>91700.159999999989</v>
      </c>
      <c r="AY101" s="6">
        <f t="shared" si="43"/>
        <v>127029.68999999999</v>
      </c>
      <c r="AZ101" s="6">
        <f t="shared" si="43"/>
        <v>140674.23999999996</v>
      </c>
      <c r="BA101" s="6">
        <f t="shared" si="43"/>
        <v>125300.96000000002</v>
      </c>
      <c r="BB101" s="6">
        <f t="shared" si="43"/>
        <v>156156.44000000003</v>
      </c>
      <c r="BC101" s="6">
        <f t="shared" si="43"/>
        <v>123120.57999999999</v>
      </c>
      <c r="BD101" s="6">
        <f t="shared" si="43"/>
        <v>113134.93000000001</v>
      </c>
      <c r="BE101" s="6">
        <f t="shared" si="43"/>
        <v>172434.73</v>
      </c>
      <c r="BF101" s="6">
        <f t="shared" si="43"/>
        <v>153489.18</v>
      </c>
      <c r="BG101" s="6">
        <f t="shared" si="43"/>
        <v>138514.76</v>
      </c>
      <c r="BH101" s="6">
        <f t="shared" si="43"/>
        <v>89837.549999999988</v>
      </c>
      <c r="BI101" s="6">
        <f t="shared" si="43"/>
        <v>107925.17000000001</v>
      </c>
      <c r="BJ101" s="6">
        <f t="shared" si="43"/>
        <v>75646.38</v>
      </c>
      <c r="BK101" s="6">
        <f t="shared" si="43"/>
        <v>101438.94</v>
      </c>
      <c r="BL101" s="6">
        <f t="shared" si="43"/>
        <v>134971.01</v>
      </c>
      <c r="BM101" s="6">
        <f t="shared" si="43"/>
        <v>113806.54000000001</v>
      </c>
      <c r="BN101" s="6">
        <f t="shared" ref="BN101:CA101" si="44">SUM(BN42,BN46,BN58,BN63,BN69,BN76,BN82,BN97,BN65,BN78,BN84,BN99:BN100)</f>
        <v>93243.260000000009</v>
      </c>
      <c r="BO101" s="6">
        <f t="shared" si="44"/>
        <v>92695.209999999992</v>
      </c>
      <c r="BP101" s="6">
        <f t="shared" si="44"/>
        <v>28732.710000000003</v>
      </c>
      <c r="BQ101" s="6">
        <f t="shared" si="44"/>
        <v>20207.079999999998</v>
      </c>
      <c r="BR101" s="6">
        <f t="shared" si="44"/>
        <v>24146.29</v>
      </c>
      <c r="BS101" s="6">
        <f t="shared" si="44"/>
        <v>25750.2</v>
      </c>
      <c r="BT101" s="6">
        <f t="shared" si="44"/>
        <v>16368.2</v>
      </c>
      <c r="BU101" s="6">
        <f t="shared" si="44"/>
        <v>37327.520000000004</v>
      </c>
      <c r="BV101" s="6">
        <f t="shared" si="44"/>
        <v>30119.640000000003</v>
      </c>
      <c r="BW101" s="6">
        <f t="shared" si="44"/>
        <v>30084.410000000003</v>
      </c>
      <c r="BX101" s="6">
        <f t="shared" si="44"/>
        <v>42332.51</v>
      </c>
      <c r="BY101" s="6">
        <f t="shared" si="44"/>
        <v>99489.52</v>
      </c>
      <c r="BZ101" s="6">
        <f t="shared" si="44"/>
        <v>111150.31</v>
      </c>
      <c r="CA101" s="6">
        <f t="shared" si="44"/>
        <v>119274.67</v>
      </c>
    </row>
    <row r="102" spans="1:79" x14ac:dyDescent="0.3">
      <c r="A102" s="5" t="s">
        <v>179</v>
      </c>
      <c r="B102" s="6">
        <f t="shared" ref="B102:AG102" si="45">B34-B101</f>
        <v>48557.95</v>
      </c>
      <c r="C102" s="6">
        <f t="shared" si="45"/>
        <v>11101.400000000005</v>
      </c>
      <c r="D102" s="6">
        <f t="shared" si="45"/>
        <v>-14432.66</v>
      </c>
      <c r="E102" s="6">
        <f t="shared" si="45"/>
        <v>9029.9200000000092</v>
      </c>
      <c r="F102" s="6">
        <f t="shared" si="45"/>
        <v>-4876.5400000000045</v>
      </c>
      <c r="G102" s="6">
        <f t="shared" si="45"/>
        <v>-12012.490000000005</v>
      </c>
      <c r="H102" s="6">
        <f t="shared" si="45"/>
        <v>48530.389999999992</v>
      </c>
      <c r="I102" s="6">
        <f t="shared" si="45"/>
        <v>76215.959999999992</v>
      </c>
      <c r="J102" s="6">
        <f t="shared" si="45"/>
        <v>-16121.309999999994</v>
      </c>
      <c r="K102" s="6">
        <f t="shared" si="45"/>
        <v>-22111.989999999998</v>
      </c>
      <c r="L102" s="6">
        <f t="shared" si="45"/>
        <v>50922.84</v>
      </c>
      <c r="M102" s="6">
        <f t="shared" si="45"/>
        <v>-7196.1699999999983</v>
      </c>
      <c r="N102" s="6">
        <f t="shared" si="45"/>
        <v>-51340.25</v>
      </c>
      <c r="O102" s="6">
        <f t="shared" si="45"/>
        <v>30451.289999999994</v>
      </c>
      <c r="P102" s="6">
        <f t="shared" si="45"/>
        <v>45196.59</v>
      </c>
      <c r="Q102" s="6">
        <f t="shared" si="45"/>
        <v>-54652.570000000007</v>
      </c>
      <c r="R102" s="6">
        <f t="shared" si="45"/>
        <v>32170.009999999995</v>
      </c>
      <c r="S102" s="6">
        <f t="shared" si="45"/>
        <v>-2703.8400000000183</v>
      </c>
      <c r="T102" s="6">
        <f t="shared" si="45"/>
        <v>-12212.799999999996</v>
      </c>
      <c r="U102" s="6">
        <f t="shared" si="45"/>
        <v>50724.31</v>
      </c>
      <c r="V102" s="6">
        <f t="shared" si="45"/>
        <v>-17985.740000000002</v>
      </c>
      <c r="W102" s="6">
        <f t="shared" si="45"/>
        <v>-20442.129999999997</v>
      </c>
      <c r="X102" s="6">
        <f t="shared" si="45"/>
        <v>-2701.1800000000003</v>
      </c>
      <c r="Y102" s="6">
        <f t="shared" si="45"/>
        <v>66920.139999999985</v>
      </c>
      <c r="Z102" s="6">
        <f t="shared" si="45"/>
        <v>-36024.67</v>
      </c>
      <c r="AA102" s="6">
        <f t="shared" si="45"/>
        <v>-7074.4499999999971</v>
      </c>
      <c r="AB102" s="6">
        <f t="shared" si="45"/>
        <v>2848.6100000000151</v>
      </c>
      <c r="AC102" s="6">
        <f t="shared" si="45"/>
        <v>-43245.149999999994</v>
      </c>
      <c r="AD102" s="6">
        <f t="shared" si="45"/>
        <v>17380.379999999997</v>
      </c>
      <c r="AE102" s="6">
        <f t="shared" si="45"/>
        <v>-16252.419999999955</v>
      </c>
      <c r="AF102" s="6">
        <f t="shared" si="45"/>
        <v>29070.609999999986</v>
      </c>
      <c r="AG102" s="6">
        <f t="shared" si="45"/>
        <v>5720.2299999999959</v>
      </c>
      <c r="AH102" s="6">
        <f t="shared" ref="AH102:BM102" si="46">AH34-AH101</f>
        <v>31835.75</v>
      </c>
      <c r="AI102" s="6">
        <f t="shared" si="46"/>
        <v>-23394.369999999995</v>
      </c>
      <c r="AJ102" s="6">
        <f t="shared" si="46"/>
        <v>10430.739999999998</v>
      </c>
      <c r="AK102" s="6">
        <f t="shared" si="46"/>
        <v>50830.949999999983</v>
      </c>
      <c r="AL102" s="6">
        <f t="shared" si="46"/>
        <v>21750.300000000003</v>
      </c>
      <c r="AM102" s="6">
        <f t="shared" si="46"/>
        <v>-14538.139999999985</v>
      </c>
      <c r="AN102" s="6">
        <f t="shared" si="46"/>
        <v>-21020.440000000017</v>
      </c>
      <c r="AO102" s="6">
        <f t="shared" si="46"/>
        <v>-38619.819999999978</v>
      </c>
      <c r="AP102" s="6">
        <f t="shared" si="46"/>
        <v>105743.72000000002</v>
      </c>
      <c r="AQ102" s="6">
        <f t="shared" si="46"/>
        <v>40313.189999999995</v>
      </c>
      <c r="AR102" s="6">
        <f t="shared" si="46"/>
        <v>-51524.950000000004</v>
      </c>
      <c r="AS102" s="6">
        <f t="shared" si="46"/>
        <v>34494.670000000013</v>
      </c>
      <c r="AT102" s="6">
        <f t="shared" si="46"/>
        <v>23390.930000000008</v>
      </c>
      <c r="AU102" s="6">
        <f t="shared" si="46"/>
        <v>40513.420000000013</v>
      </c>
      <c r="AV102" s="6">
        <f t="shared" si="46"/>
        <v>16783.560000000027</v>
      </c>
      <c r="AW102" s="6">
        <f t="shared" si="46"/>
        <v>39794.880000000005</v>
      </c>
      <c r="AX102" s="6">
        <f t="shared" si="46"/>
        <v>80875.60000000002</v>
      </c>
      <c r="AY102" s="6">
        <f t="shared" si="46"/>
        <v>6982.6599999999889</v>
      </c>
      <c r="AZ102" s="6">
        <f t="shared" si="46"/>
        <v>-84869.069999999949</v>
      </c>
      <c r="BA102" s="6">
        <f t="shared" si="46"/>
        <v>184480.09000000003</v>
      </c>
      <c r="BB102" s="6">
        <f t="shared" si="46"/>
        <v>-107987.59000000004</v>
      </c>
      <c r="BC102" s="6">
        <f t="shared" si="46"/>
        <v>68477.360000000015</v>
      </c>
      <c r="BD102" s="6">
        <f t="shared" si="46"/>
        <v>76330.540000000023</v>
      </c>
      <c r="BE102" s="6">
        <f t="shared" si="46"/>
        <v>-35518.860000000015</v>
      </c>
      <c r="BF102" s="6">
        <f t="shared" si="46"/>
        <v>-107157.09</v>
      </c>
      <c r="BG102" s="6">
        <f t="shared" si="46"/>
        <v>50777.489999999991</v>
      </c>
      <c r="BH102" s="6">
        <f t="shared" si="46"/>
        <v>-8778.4799999999814</v>
      </c>
      <c r="BI102" s="6">
        <f t="shared" si="46"/>
        <v>17092.639999999985</v>
      </c>
      <c r="BJ102" s="6">
        <f t="shared" si="46"/>
        <v>-59004.05</v>
      </c>
      <c r="BK102" s="6">
        <f t="shared" si="46"/>
        <v>-29432.119999999995</v>
      </c>
      <c r="BL102" s="6">
        <f t="shared" si="46"/>
        <v>37416.479999999981</v>
      </c>
      <c r="BM102" s="6">
        <f t="shared" si="46"/>
        <v>-82545.91</v>
      </c>
      <c r="BN102" s="6">
        <f t="shared" ref="BN102:CA102" si="47">BN34-BN101</f>
        <v>18489.01999999999</v>
      </c>
      <c r="BO102" s="6">
        <f t="shared" si="47"/>
        <v>30480.020000000019</v>
      </c>
      <c r="BP102" s="6">
        <f t="shared" si="47"/>
        <v>16121.209999999995</v>
      </c>
      <c r="BQ102" s="6">
        <f t="shared" si="47"/>
        <v>72763.3</v>
      </c>
      <c r="BR102" s="6">
        <f t="shared" si="47"/>
        <v>62801.500000000007</v>
      </c>
      <c r="BS102" s="6">
        <f t="shared" si="47"/>
        <v>133747.63</v>
      </c>
      <c r="BT102" s="6">
        <f t="shared" si="47"/>
        <v>73719.320000000022</v>
      </c>
      <c r="BU102" s="6">
        <f t="shared" si="47"/>
        <v>104733.89999999998</v>
      </c>
      <c r="BV102" s="6">
        <f t="shared" si="47"/>
        <v>156741.28999999998</v>
      </c>
      <c r="BW102" s="6">
        <f t="shared" si="47"/>
        <v>23234.550000000003</v>
      </c>
      <c r="BX102" s="6">
        <f t="shared" si="47"/>
        <v>155500.79999999999</v>
      </c>
      <c r="BY102" s="6">
        <f t="shared" si="47"/>
        <v>-8170.5200000000041</v>
      </c>
      <c r="BZ102" s="6">
        <f t="shared" si="47"/>
        <v>15191.529999999999</v>
      </c>
      <c r="CA102" s="6">
        <f t="shared" si="47"/>
        <v>52682.679999999978</v>
      </c>
    </row>
    <row r="103" spans="1:79" x14ac:dyDescent="0.3">
      <c r="A103" s="5" t="s">
        <v>180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</row>
    <row r="104" spans="1:79" x14ac:dyDescent="0.3">
      <c r="A104" s="12" t="s">
        <v>181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20860</v>
      </c>
      <c r="S104" s="10">
        <v>0</v>
      </c>
      <c r="T104" s="10">
        <v>0</v>
      </c>
      <c r="U104" s="10">
        <v>36795.5</v>
      </c>
      <c r="V104" s="10">
        <v>0</v>
      </c>
      <c r="W104" s="10">
        <v>0</v>
      </c>
      <c r="X104" s="10">
        <v>19218.5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</row>
    <row r="105" spans="1:79" x14ac:dyDescent="0.3">
      <c r="A105" s="12" t="s">
        <v>182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18000</v>
      </c>
      <c r="S105" s="10">
        <v>18000</v>
      </c>
      <c r="T105" s="10">
        <v>16500</v>
      </c>
      <c r="U105" s="10">
        <v>15000</v>
      </c>
      <c r="V105" s="10">
        <v>22500</v>
      </c>
      <c r="W105" s="10">
        <v>15000</v>
      </c>
      <c r="X105" s="10">
        <v>0</v>
      </c>
      <c r="Y105" s="10">
        <v>0</v>
      </c>
      <c r="Z105" s="10">
        <v>0</v>
      </c>
      <c r="AA105" s="10">
        <v>10000</v>
      </c>
      <c r="AB105" s="10">
        <v>10000</v>
      </c>
      <c r="AC105" s="10">
        <v>10000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</row>
    <row r="106" spans="1:79" x14ac:dyDescent="0.3">
      <c r="A106" s="12" t="s">
        <v>183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1500</v>
      </c>
      <c r="R106" s="10">
        <v>8410.24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2801.32</v>
      </c>
      <c r="AG106" s="10">
        <v>6236.34</v>
      </c>
      <c r="AH106" s="10">
        <v>0</v>
      </c>
      <c r="AI106" s="10">
        <v>0</v>
      </c>
      <c r="AJ106" s="10">
        <v>7114.57</v>
      </c>
      <c r="AK106" s="10">
        <v>8854.34</v>
      </c>
      <c r="AL106" s="10">
        <v>0</v>
      </c>
      <c r="AM106" s="10">
        <v>3420.27</v>
      </c>
      <c r="AN106" s="10">
        <v>0</v>
      </c>
      <c r="AO106" s="10">
        <v>5080.47</v>
      </c>
      <c r="AP106" s="10">
        <v>0</v>
      </c>
      <c r="AQ106" s="10">
        <v>0</v>
      </c>
      <c r="AR106" s="10">
        <v>0</v>
      </c>
      <c r="AS106" s="10">
        <v>10393.48</v>
      </c>
      <c r="AT106" s="10">
        <v>0</v>
      </c>
      <c r="AU106" s="10">
        <v>0</v>
      </c>
      <c r="AV106" s="10">
        <v>5972.46</v>
      </c>
      <c r="AW106" s="10">
        <v>0</v>
      </c>
      <c r="AX106" s="10">
        <v>4980.1499999999996</v>
      </c>
      <c r="AY106" s="10">
        <v>0</v>
      </c>
      <c r="AZ106" s="10">
        <v>0</v>
      </c>
      <c r="BA106" s="10">
        <v>0</v>
      </c>
      <c r="BB106" s="10">
        <v>1955.72</v>
      </c>
      <c r="BC106" s="10">
        <v>0</v>
      </c>
      <c r="BD106" s="10">
        <v>1732.85</v>
      </c>
      <c r="BE106" s="10">
        <v>745.97</v>
      </c>
      <c r="BF106" s="10">
        <v>0</v>
      </c>
      <c r="BG106" s="10">
        <v>0</v>
      </c>
      <c r="BH106" s="10">
        <v>2575.79</v>
      </c>
      <c r="BI106" s="10">
        <v>0</v>
      </c>
      <c r="BJ106" s="10">
        <v>885.18</v>
      </c>
      <c r="BK106" s="10">
        <v>2701.22</v>
      </c>
      <c r="BL106" s="10">
        <v>0</v>
      </c>
      <c r="BM106" s="10">
        <v>0</v>
      </c>
      <c r="BN106" s="10">
        <v>1350.81</v>
      </c>
      <c r="BO106" s="10">
        <v>0</v>
      </c>
      <c r="BP106" s="10">
        <v>486.18</v>
      </c>
      <c r="BQ106" s="10">
        <v>2398.67</v>
      </c>
      <c r="BR106" s="10">
        <v>0</v>
      </c>
      <c r="BS106" s="10">
        <v>0</v>
      </c>
      <c r="BT106" s="10">
        <v>6932.05</v>
      </c>
      <c r="BU106" s="10">
        <v>547.51</v>
      </c>
      <c r="BV106" s="10">
        <v>0</v>
      </c>
      <c r="BW106" s="10">
        <v>2555.5700000000002</v>
      </c>
      <c r="BX106" s="10">
        <v>0</v>
      </c>
      <c r="BY106" s="10">
        <v>0</v>
      </c>
      <c r="BZ106" s="10">
        <v>2352.91</v>
      </c>
      <c r="CA106" s="10">
        <v>0</v>
      </c>
    </row>
    <row r="107" spans="1:79" x14ac:dyDescent="0.3">
      <c r="A107" s="12" t="s">
        <v>184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10000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</row>
    <row r="108" spans="1:79" x14ac:dyDescent="0.3">
      <c r="A108" s="12" t="s">
        <v>185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10000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</row>
    <row r="109" spans="1:79" x14ac:dyDescent="0.3">
      <c r="A109" s="12" t="s">
        <v>186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31083.31</v>
      </c>
      <c r="BH109" s="10">
        <v>9569.18</v>
      </c>
      <c r="BI109" s="10">
        <v>0</v>
      </c>
      <c r="BJ109" s="10">
        <v>3900</v>
      </c>
      <c r="BK109" s="10">
        <v>17033.28</v>
      </c>
      <c r="BL109" s="10">
        <v>10756.52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</row>
    <row r="110" spans="1:79" x14ac:dyDescent="0.3">
      <c r="A110" s="12" t="s">
        <v>187</v>
      </c>
      <c r="B110" s="10">
        <v>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7062</v>
      </c>
      <c r="BM110" s="10">
        <v>3531</v>
      </c>
      <c r="BN110" s="10">
        <v>3531</v>
      </c>
      <c r="BO110" s="10">
        <v>1765.5</v>
      </c>
      <c r="BP110" s="10">
        <v>33.049999999999997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</row>
    <row r="111" spans="1:79" x14ac:dyDescent="0.3">
      <c r="A111" s="5" t="s">
        <v>188</v>
      </c>
      <c r="B111" s="6">
        <f t="shared" ref="B111:AG111" si="48">B102+SUM(B104:B110)</f>
        <v>48557.95</v>
      </c>
      <c r="C111" s="6">
        <f t="shared" si="48"/>
        <v>11101.400000000005</v>
      </c>
      <c r="D111" s="6">
        <f t="shared" si="48"/>
        <v>-14432.66</v>
      </c>
      <c r="E111" s="6">
        <f t="shared" si="48"/>
        <v>9029.9200000000092</v>
      </c>
      <c r="F111" s="6">
        <f t="shared" si="48"/>
        <v>-4876.5400000000045</v>
      </c>
      <c r="G111" s="6">
        <f t="shared" si="48"/>
        <v>-12012.490000000005</v>
      </c>
      <c r="H111" s="6">
        <f t="shared" si="48"/>
        <v>48530.389999999992</v>
      </c>
      <c r="I111" s="6">
        <f t="shared" si="48"/>
        <v>76215.959999999992</v>
      </c>
      <c r="J111" s="6">
        <f t="shared" si="48"/>
        <v>-16121.309999999994</v>
      </c>
      <c r="K111" s="6">
        <f t="shared" si="48"/>
        <v>-22111.989999999998</v>
      </c>
      <c r="L111" s="6">
        <f t="shared" si="48"/>
        <v>50922.84</v>
      </c>
      <c r="M111" s="6">
        <f t="shared" si="48"/>
        <v>-7196.1699999999983</v>
      </c>
      <c r="N111" s="6">
        <f t="shared" si="48"/>
        <v>-51340.25</v>
      </c>
      <c r="O111" s="6">
        <f t="shared" si="48"/>
        <v>30451.289999999994</v>
      </c>
      <c r="P111" s="6">
        <f t="shared" si="48"/>
        <v>45196.59</v>
      </c>
      <c r="Q111" s="6">
        <f t="shared" si="48"/>
        <v>-53152.570000000007</v>
      </c>
      <c r="R111" s="6">
        <f t="shared" si="48"/>
        <v>79440.25</v>
      </c>
      <c r="S111" s="6">
        <f t="shared" si="48"/>
        <v>15296.159999999982</v>
      </c>
      <c r="T111" s="6">
        <f t="shared" si="48"/>
        <v>4287.2000000000044</v>
      </c>
      <c r="U111" s="6">
        <f t="shared" si="48"/>
        <v>112519.81</v>
      </c>
      <c r="V111" s="6">
        <f t="shared" si="48"/>
        <v>4514.2599999999984</v>
      </c>
      <c r="W111" s="6">
        <f t="shared" si="48"/>
        <v>-5442.1299999999974</v>
      </c>
      <c r="X111" s="6">
        <f t="shared" si="48"/>
        <v>16517.32</v>
      </c>
      <c r="Y111" s="6">
        <f t="shared" si="48"/>
        <v>66920.139999999985</v>
      </c>
      <c r="Z111" s="6">
        <f t="shared" si="48"/>
        <v>-26024.67</v>
      </c>
      <c r="AA111" s="6">
        <f t="shared" si="48"/>
        <v>2925.5500000000029</v>
      </c>
      <c r="AB111" s="6">
        <f t="shared" si="48"/>
        <v>12848.610000000015</v>
      </c>
      <c r="AC111" s="6">
        <f t="shared" si="48"/>
        <v>-33245.149999999994</v>
      </c>
      <c r="AD111" s="6">
        <f t="shared" si="48"/>
        <v>17380.379999999997</v>
      </c>
      <c r="AE111" s="6">
        <f t="shared" si="48"/>
        <v>-16252.419999999955</v>
      </c>
      <c r="AF111" s="6">
        <f t="shared" si="48"/>
        <v>31871.929999999986</v>
      </c>
      <c r="AG111" s="6">
        <f t="shared" si="48"/>
        <v>11956.569999999996</v>
      </c>
      <c r="AH111" s="6">
        <f t="shared" ref="AH111:BM111" si="49">AH102+SUM(AH104:AH110)</f>
        <v>31835.75</v>
      </c>
      <c r="AI111" s="6">
        <f t="shared" si="49"/>
        <v>-23394.369999999995</v>
      </c>
      <c r="AJ111" s="6">
        <f t="shared" si="49"/>
        <v>17545.309999999998</v>
      </c>
      <c r="AK111" s="6">
        <f t="shared" si="49"/>
        <v>59685.289999999979</v>
      </c>
      <c r="AL111" s="6">
        <f t="shared" si="49"/>
        <v>21750.300000000003</v>
      </c>
      <c r="AM111" s="6">
        <f t="shared" si="49"/>
        <v>-11117.869999999984</v>
      </c>
      <c r="AN111" s="6">
        <f t="shared" si="49"/>
        <v>-21020.440000000017</v>
      </c>
      <c r="AO111" s="6">
        <f t="shared" si="49"/>
        <v>-33539.349999999977</v>
      </c>
      <c r="AP111" s="6">
        <f t="shared" si="49"/>
        <v>105743.72000000002</v>
      </c>
      <c r="AQ111" s="6">
        <f t="shared" si="49"/>
        <v>40313.189999999995</v>
      </c>
      <c r="AR111" s="6">
        <f t="shared" si="49"/>
        <v>-51524.950000000004</v>
      </c>
      <c r="AS111" s="6">
        <f t="shared" si="49"/>
        <v>44888.150000000009</v>
      </c>
      <c r="AT111" s="6">
        <f t="shared" si="49"/>
        <v>23390.930000000008</v>
      </c>
      <c r="AU111" s="6">
        <f t="shared" si="49"/>
        <v>40513.420000000013</v>
      </c>
      <c r="AV111" s="6">
        <f t="shared" si="49"/>
        <v>22756.020000000026</v>
      </c>
      <c r="AW111" s="6">
        <f t="shared" si="49"/>
        <v>39794.880000000005</v>
      </c>
      <c r="AX111" s="6">
        <f t="shared" si="49"/>
        <v>85855.750000000015</v>
      </c>
      <c r="AY111" s="6">
        <f t="shared" si="49"/>
        <v>6982.6599999999889</v>
      </c>
      <c r="AZ111" s="6">
        <f t="shared" si="49"/>
        <v>-84869.069999999949</v>
      </c>
      <c r="BA111" s="6">
        <f t="shared" si="49"/>
        <v>184480.09000000003</v>
      </c>
      <c r="BB111" s="6">
        <f t="shared" si="49"/>
        <v>-106031.87000000004</v>
      </c>
      <c r="BC111" s="6">
        <f t="shared" si="49"/>
        <v>68477.360000000015</v>
      </c>
      <c r="BD111" s="6">
        <f t="shared" si="49"/>
        <v>78063.390000000029</v>
      </c>
      <c r="BE111" s="6">
        <f t="shared" si="49"/>
        <v>-34772.890000000014</v>
      </c>
      <c r="BF111" s="6">
        <f t="shared" si="49"/>
        <v>-107157.09</v>
      </c>
      <c r="BG111" s="6">
        <f t="shared" si="49"/>
        <v>81860.799999999988</v>
      </c>
      <c r="BH111" s="6">
        <f t="shared" si="49"/>
        <v>3366.4900000000198</v>
      </c>
      <c r="BI111" s="6">
        <f t="shared" si="49"/>
        <v>17092.639999999985</v>
      </c>
      <c r="BJ111" s="6">
        <f t="shared" si="49"/>
        <v>-54218.87</v>
      </c>
      <c r="BK111" s="6">
        <f t="shared" si="49"/>
        <v>-9697.6199999999953</v>
      </c>
      <c r="BL111" s="6">
        <f t="shared" si="49"/>
        <v>55234.999999999985</v>
      </c>
      <c r="BM111" s="6">
        <f t="shared" si="49"/>
        <v>-79014.91</v>
      </c>
      <c r="BN111" s="6">
        <f t="shared" ref="BN111:CA111" si="50">BN102+SUM(BN104:BN110)</f>
        <v>23370.829999999987</v>
      </c>
      <c r="BO111" s="6">
        <f t="shared" si="50"/>
        <v>32245.520000000019</v>
      </c>
      <c r="BP111" s="6">
        <f t="shared" si="50"/>
        <v>16640.439999999995</v>
      </c>
      <c r="BQ111" s="6">
        <f t="shared" si="50"/>
        <v>75161.97</v>
      </c>
      <c r="BR111" s="6">
        <f t="shared" si="50"/>
        <v>62801.500000000007</v>
      </c>
      <c r="BS111" s="6">
        <f t="shared" si="50"/>
        <v>133747.63</v>
      </c>
      <c r="BT111" s="6">
        <f t="shared" si="50"/>
        <v>80651.370000000024</v>
      </c>
      <c r="BU111" s="6">
        <f t="shared" si="50"/>
        <v>105281.40999999997</v>
      </c>
      <c r="BV111" s="6">
        <f t="shared" si="50"/>
        <v>156741.28999999998</v>
      </c>
      <c r="BW111" s="6">
        <f t="shared" si="50"/>
        <v>25790.120000000003</v>
      </c>
      <c r="BX111" s="6">
        <f t="shared" si="50"/>
        <v>155500.79999999999</v>
      </c>
      <c r="BY111" s="6">
        <f t="shared" si="50"/>
        <v>-8170.5200000000041</v>
      </c>
      <c r="BZ111" s="6">
        <f t="shared" si="50"/>
        <v>17544.439999999999</v>
      </c>
      <c r="CA111" s="6">
        <f t="shared" si="50"/>
        <v>52682.679999999978</v>
      </c>
    </row>
    <row r="112" spans="1:79" x14ac:dyDescent="0.3">
      <c r="A112" s="5" t="s">
        <v>189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</row>
    <row r="113" spans="1:79" x14ac:dyDescent="0.3">
      <c r="A113" s="12" t="s">
        <v>189</v>
      </c>
      <c r="B113" s="10">
        <v>30.43</v>
      </c>
      <c r="C113" s="10">
        <v>26.86</v>
      </c>
      <c r="D113" s="10">
        <v>25.66</v>
      </c>
      <c r="E113" s="10">
        <v>27.36</v>
      </c>
      <c r="F113" s="10">
        <v>34.68</v>
      </c>
      <c r="G113" s="10">
        <v>30.28</v>
      </c>
      <c r="H113" s="10">
        <v>17.87</v>
      </c>
      <c r="I113" s="10">
        <v>10.89</v>
      </c>
      <c r="J113" s="10">
        <v>9.18</v>
      </c>
      <c r="K113" s="10">
        <v>12.21</v>
      </c>
      <c r="L113" s="10">
        <v>14.12</v>
      </c>
      <c r="M113" s="10">
        <v>15.87</v>
      </c>
      <c r="N113" s="10">
        <v>15.61</v>
      </c>
      <c r="O113" s="10">
        <v>14.35</v>
      </c>
      <c r="P113" s="10">
        <v>11.35</v>
      </c>
      <c r="Q113" s="10">
        <v>4.7300000000000004</v>
      </c>
      <c r="R113" s="10">
        <v>6.17</v>
      </c>
      <c r="S113" s="10">
        <v>6.27</v>
      </c>
      <c r="T113" s="10">
        <v>6.99</v>
      </c>
      <c r="U113" s="10">
        <v>4.63</v>
      </c>
      <c r="V113" s="10">
        <v>3.24</v>
      </c>
      <c r="W113" s="10">
        <v>3.56</v>
      </c>
      <c r="X113" s="10">
        <v>3.83</v>
      </c>
      <c r="Y113" s="10">
        <v>3.49</v>
      </c>
      <c r="Z113" s="10">
        <v>5.19</v>
      </c>
      <c r="AA113" s="10">
        <v>4.75</v>
      </c>
      <c r="AB113" s="10">
        <v>5.77</v>
      </c>
      <c r="AC113" s="10">
        <v>5.85</v>
      </c>
      <c r="AD113" s="10">
        <v>6.28</v>
      </c>
      <c r="AE113" s="10">
        <v>6.27</v>
      </c>
      <c r="AF113" s="10">
        <v>5.51</v>
      </c>
      <c r="AG113" s="10">
        <v>5.71</v>
      </c>
      <c r="AH113" s="10">
        <v>3.66</v>
      </c>
      <c r="AI113" s="10">
        <v>1.5</v>
      </c>
      <c r="AJ113" s="10">
        <v>0.84</v>
      </c>
      <c r="AK113" s="10">
        <v>0.85</v>
      </c>
      <c r="AL113" s="10">
        <v>0.91</v>
      </c>
      <c r="AM113" s="10">
        <v>0.62</v>
      </c>
      <c r="AN113" s="10">
        <v>0.63</v>
      </c>
      <c r="AO113" s="10">
        <v>0.62</v>
      </c>
      <c r="AP113" s="10">
        <v>0.73</v>
      </c>
      <c r="AQ113" s="10">
        <v>2.1</v>
      </c>
      <c r="AR113" s="10">
        <v>13.05</v>
      </c>
      <c r="AS113" s="10">
        <v>22.28</v>
      </c>
      <c r="AT113" s="10">
        <v>37.97</v>
      </c>
      <c r="AU113" s="10">
        <v>89.6</v>
      </c>
      <c r="AV113" s="10">
        <v>127.44</v>
      </c>
      <c r="AW113" s="10">
        <v>98.8</v>
      </c>
      <c r="AX113" s="10">
        <v>83.19</v>
      </c>
      <c r="AY113" s="10">
        <v>59.43</v>
      </c>
      <c r="AZ113" s="10">
        <v>25.6</v>
      </c>
      <c r="BA113" s="10">
        <v>36.119999999999997</v>
      </c>
      <c r="BB113" s="10">
        <v>39.35</v>
      </c>
      <c r="BC113" s="10">
        <v>50.06</v>
      </c>
      <c r="BD113" s="10">
        <v>59.88</v>
      </c>
      <c r="BE113" s="10">
        <v>74.47</v>
      </c>
      <c r="BF113" s="10">
        <v>48.09</v>
      </c>
      <c r="BG113" s="10">
        <v>73.58</v>
      </c>
      <c r="BH113" s="10">
        <v>56.19</v>
      </c>
      <c r="BI113" s="10">
        <v>35.68</v>
      </c>
      <c r="BJ113" s="10">
        <v>80.02</v>
      </c>
      <c r="BK113" s="10">
        <v>80.290000000000006</v>
      </c>
      <c r="BL113" s="10">
        <v>54.05</v>
      </c>
      <c r="BM113" s="10">
        <v>90.88</v>
      </c>
      <c r="BN113" s="10">
        <v>80.78</v>
      </c>
      <c r="BO113" s="10">
        <v>62.27</v>
      </c>
      <c r="BP113" s="10">
        <v>73.77</v>
      </c>
      <c r="BQ113" s="10">
        <v>69.64</v>
      </c>
      <c r="BR113" s="10">
        <v>131.65</v>
      </c>
      <c r="BS113" s="10">
        <v>94.65</v>
      </c>
      <c r="BT113" s="10">
        <v>74.63</v>
      </c>
      <c r="BU113" s="10">
        <v>67.55</v>
      </c>
      <c r="BV113" s="10">
        <v>50.2</v>
      </c>
      <c r="BW113" s="10">
        <v>82.31</v>
      </c>
      <c r="BX113" s="10">
        <v>132.24</v>
      </c>
      <c r="BY113" s="10">
        <v>80.180000000000007</v>
      </c>
      <c r="BZ113" s="10">
        <v>57.67</v>
      </c>
      <c r="CA113" s="10">
        <v>38.96</v>
      </c>
    </row>
    <row r="114" spans="1:79" x14ac:dyDescent="0.3">
      <c r="A114" s="5" t="s">
        <v>190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</row>
    <row r="115" spans="1:79" x14ac:dyDescent="0.3">
      <c r="A115" s="12" t="s">
        <v>191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15.52</v>
      </c>
      <c r="K115" s="10">
        <v>0</v>
      </c>
      <c r="L115" s="10">
        <v>0</v>
      </c>
      <c r="M115" s="10">
        <v>0</v>
      </c>
      <c r="N115" s="10">
        <v>0</v>
      </c>
      <c r="O115" s="10">
        <v>668.52</v>
      </c>
      <c r="P115" s="10">
        <v>97.02</v>
      </c>
      <c r="Q115" s="10">
        <v>48.51</v>
      </c>
      <c r="R115" s="10">
        <v>48.51</v>
      </c>
      <c r="S115" s="10">
        <v>48.51</v>
      </c>
      <c r="T115" s="10">
        <v>48.51</v>
      </c>
      <c r="U115" s="10">
        <v>48.51</v>
      </c>
      <c r="V115" s="10">
        <v>48.51</v>
      </c>
      <c r="W115" s="10">
        <v>48.51</v>
      </c>
      <c r="X115" s="10">
        <v>48.51</v>
      </c>
      <c r="Y115" s="10">
        <v>48.51</v>
      </c>
      <c r="Z115" s="10">
        <v>48.51</v>
      </c>
      <c r="AA115" s="10">
        <v>0</v>
      </c>
      <c r="AB115" s="10">
        <v>97.02</v>
      </c>
      <c r="AC115" s="10">
        <v>-620.01</v>
      </c>
      <c r="AD115" s="10">
        <v>48.51</v>
      </c>
      <c r="AE115" s="10">
        <v>48.51</v>
      </c>
      <c r="AF115" s="10">
        <v>185.71</v>
      </c>
      <c r="AG115" s="10">
        <v>48.51</v>
      </c>
      <c r="AH115" s="10">
        <v>48.51</v>
      </c>
      <c r="AI115" s="10">
        <v>48.51</v>
      </c>
      <c r="AJ115" s="10">
        <v>48.51</v>
      </c>
      <c r="AK115" s="10">
        <v>48.51</v>
      </c>
      <c r="AL115" s="10">
        <v>48.51</v>
      </c>
      <c r="AM115" s="10">
        <v>48.51</v>
      </c>
      <c r="AN115" s="10">
        <v>48.51</v>
      </c>
      <c r="AO115" s="10">
        <v>48.51</v>
      </c>
      <c r="AP115" s="10">
        <v>48.51</v>
      </c>
      <c r="AQ115" s="10">
        <v>48.51</v>
      </c>
      <c r="AR115" s="10">
        <v>48.51</v>
      </c>
      <c r="AS115" s="10">
        <v>48.51</v>
      </c>
      <c r="AT115" s="10">
        <v>101.25</v>
      </c>
      <c r="AU115" s="10">
        <v>861.72</v>
      </c>
      <c r="AV115" s="10">
        <v>153.99</v>
      </c>
      <c r="AW115" s="10">
        <v>153.99</v>
      </c>
      <c r="AX115" s="10">
        <v>153.99</v>
      </c>
      <c r="AY115" s="10">
        <v>371.89</v>
      </c>
      <c r="AZ115" s="10">
        <v>422.01</v>
      </c>
      <c r="BA115" s="10">
        <v>592.94000000000005</v>
      </c>
      <c r="BB115" s="10">
        <v>689.96</v>
      </c>
      <c r="BC115" s="10">
        <v>735.35</v>
      </c>
      <c r="BD115" s="10">
        <v>641.45000000000005</v>
      </c>
      <c r="BE115" s="10">
        <v>694.19</v>
      </c>
      <c r="BF115" s="10">
        <v>641.45000000000005</v>
      </c>
      <c r="BG115" s="10">
        <v>894.66</v>
      </c>
      <c r="BH115" s="10">
        <v>886.18</v>
      </c>
      <c r="BI115" s="10">
        <v>877.66</v>
      </c>
      <c r="BJ115" s="10">
        <v>1409.29</v>
      </c>
      <c r="BK115" s="10">
        <v>1347.94</v>
      </c>
      <c r="BL115" s="10">
        <v>1064.52</v>
      </c>
      <c r="BM115" s="10">
        <v>1261.58</v>
      </c>
      <c r="BN115" s="10">
        <v>1252.83</v>
      </c>
      <c r="BO115" s="10">
        <v>1195.53</v>
      </c>
      <c r="BP115" s="10">
        <v>1336.44</v>
      </c>
      <c r="BQ115" s="10">
        <v>1022.49</v>
      </c>
      <c r="BR115" s="10">
        <v>1800.38</v>
      </c>
      <c r="BS115" s="10">
        <v>1831.8</v>
      </c>
      <c r="BT115" s="10">
        <v>1975.98</v>
      </c>
      <c r="BU115" s="10">
        <v>1831.25</v>
      </c>
      <c r="BV115" s="10">
        <v>2028.78</v>
      </c>
      <c r="BW115" s="10">
        <v>1576.97</v>
      </c>
      <c r="BX115" s="10">
        <v>1559.83</v>
      </c>
      <c r="BY115" s="10">
        <v>22844.6</v>
      </c>
      <c r="BZ115" s="10">
        <v>1704.54</v>
      </c>
      <c r="CA115" s="10">
        <v>1559.83</v>
      </c>
    </row>
    <row r="116" spans="1:79" x14ac:dyDescent="0.3">
      <c r="A116" s="5" t="s">
        <v>192</v>
      </c>
      <c r="B116" s="6">
        <f t="shared" ref="B116:AG116" si="51">B111+SUM(B113)-SUM(B115)</f>
        <v>48588.38</v>
      </c>
      <c r="C116" s="6">
        <f t="shared" si="51"/>
        <v>11128.260000000006</v>
      </c>
      <c r="D116" s="6">
        <f t="shared" si="51"/>
        <v>-14407</v>
      </c>
      <c r="E116" s="6">
        <f t="shared" si="51"/>
        <v>9057.2800000000097</v>
      </c>
      <c r="F116" s="6">
        <f t="shared" si="51"/>
        <v>-4841.8600000000042</v>
      </c>
      <c r="G116" s="6">
        <f t="shared" si="51"/>
        <v>-11982.210000000005</v>
      </c>
      <c r="H116" s="6">
        <f t="shared" si="51"/>
        <v>48548.259999999995</v>
      </c>
      <c r="I116" s="6">
        <f t="shared" si="51"/>
        <v>76226.849999999991</v>
      </c>
      <c r="J116" s="6">
        <f t="shared" si="51"/>
        <v>-16127.649999999994</v>
      </c>
      <c r="K116" s="6">
        <f t="shared" si="51"/>
        <v>-22099.78</v>
      </c>
      <c r="L116" s="6">
        <f t="shared" si="51"/>
        <v>50936.959999999999</v>
      </c>
      <c r="M116" s="6">
        <f t="shared" si="51"/>
        <v>-7180.2999999999984</v>
      </c>
      <c r="N116" s="6">
        <f t="shared" si="51"/>
        <v>-51324.639999999999</v>
      </c>
      <c r="O116" s="6">
        <f t="shared" si="51"/>
        <v>29797.119999999992</v>
      </c>
      <c r="P116" s="6">
        <f t="shared" si="51"/>
        <v>45110.92</v>
      </c>
      <c r="Q116" s="6">
        <f t="shared" si="51"/>
        <v>-53196.350000000006</v>
      </c>
      <c r="R116" s="6">
        <f t="shared" si="51"/>
        <v>79397.91</v>
      </c>
      <c r="S116" s="6">
        <f t="shared" si="51"/>
        <v>15253.919999999982</v>
      </c>
      <c r="T116" s="6">
        <f t="shared" si="51"/>
        <v>4245.6800000000039</v>
      </c>
      <c r="U116" s="6">
        <f t="shared" si="51"/>
        <v>112475.93000000001</v>
      </c>
      <c r="V116" s="6">
        <f t="shared" si="51"/>
        <v>4468.989999999998</v>
      </c>
      <c r="W116" s="6">
        <f t="shared" si="51"/>
        <v>-5487.0799999999972</v>
      </c>
      <c r="X116" s="6">
        <f t="shared" si="51"/>
        <v>16472.640000000003</v>
      </c>
      <c r="Y116" s="6">
        <f t="shared" si="51"/>
        <v>66875.12</v>
      </c>
      <c r="Z116" s="6">
        <f t="shared" si="51"/>
        <v>-26067.989999999998</v>
      </c>
      <c r="AA116" s="6">
        <f t="shared" si="51"/>
        <v>2930.3000000000029</v>
      </c>
      <c r="AB116" s="6">
        <f t="shared" si="51"/>
        <v>12757.360000000015</v>
      </c>
      <c r="AC116" s="6">
        <f t="shared" si="51"/>
        <v>-32619.289999999997</v>
      </c>
      <c r="AD116" s="6">
        <f t="shared" si="51"/>
        <v>17338.149999999998</v>
      </c>
      <c r="AE116" s="6">
        <f t="shared" si="51"/>
        <v>-16294.659999999954</v>
      </c>
      <c r="AF116" s="6">
        <f t="shared" si="51"/>
        <v>31691.729999999985</v>
      </c>
      <c r="AG116" s="6">
        <f t="shared" si="51"/>
        <v>11913.769999999995</v>
      </c>
      <c r="AH116" s="6">
        <f t="shared" ref="AH116:BM116" si="52">AH111+SUM(AH113)-SUM(AH115)</f>
        <v>31790.9</v>
      </c>
      <c r="AI116" s="6">
        <f t="shared" si="52"/>
        <v>-23441.379999999994</v>
      </c>
      <c r="AJ116" s="6">
        <f t="shared" si="52"/>
        <v>17497.64</v>
      </c>
      <c r="AK116" s="6">
        <f t="shared" si="52"/>
        <v>59637.629999999976</v>
      </c>
      <c r="AL116" s="6">
        <f t="shared" si="52"/>
        <v>21702.700000000004</v>
      </c>
      <c r="AM116" s="6">
        <f t="shared" si="52"/>
        <v>-11165.759999999984</v>
      </c>
      <c r="AN116" s="6">
        <f t="shared" si="52"/>
        <v>-21068.320000000014</v>
      </c>
      <c r="AO116" s="6">
        <f t="shared" si="52"/>
        <v>-33587.239999999976</v>
      </c>
      <c r="AP116" s="6">
        <f t="shared" si="52"/>
        <v>105695.94000000002</v>
      </c>
      <c r="AQ116" s="6">
        <f t="shared" si="52"/>
        <v>40266.779999999992</v>
      </c>
      <c r="AR116" s="6">
        <f t="shared" si="52"/>
        <v>-51560.41</v>
      </c>
      <c r="AS116" s="6">
        <f t="shared" si="52"/>
        <v>44861.920000000006</v>
      </c>
      <c r="AT116" s="6">
        <f t="shared" si="52"/>
        <v>23327.650000000009</v>
      </c>
      <c r="AU116" s="6">
        <f t="shared" si="52"/>
        <v>39741.30000000001</v>
      </c>
      <c r="AV116" s="6">
        <f t="shared" si="52"/>
        <v>22729.470000000023</v>
      </c>
      <c r="AW116" s="6">
        <f t="shared" si="52"/>
        <v>39739.69000000001</v>
      </c>
      <c r="AX116" s="6">
        <f t="shared" si="52"/>
        <v>85784.950000000012</v>
      </c>
      <c r="AY116" s="6">
        <f t="shared" si="52"/>
        <v>6670.1999999999889</v>
      </c>
      <c r="AZ116" s="6">
        <f t="shared" si="52"/>
        <v>-85265.479999999938</v>
      </c>
      <c r="BA116" s="6">
        <f t="shared" si="52"/>
        <v>183923.27000000002</v>
      </c>
      <c r="BB116" s="6">
        <f t="shared" si="52"/>
        <v>-106682.48000000004</v>
      </c>
      <c r="BC116" s="6">
        <f t="shared" si="52"/>
        <v>67792.070000000007</v>
      </c>
      <c r="BD116" s="6">
        <f t="shared" si="52"/>
        <v>77481.820000000036</v>
      </c>
      <c r="BE116" s="6">
        <f t="shared" si="52"/>
        <v>-35392.610000000015</v>
      </c>
      <c r="BF116" s="6">
        <f t="shared" si="52"/>
        <v>-107750.45</v>
      </c>
      <c r="BG116" s="6">
        <f t="shared" si="52"/>
        <v>81039.719999999987</v>
      </c>
      <c r="BH116" s="6">
        <f t="shared" si="52"/>
        <v>2536.50000000002</v>
      </c>
      <c r="BI116" s="6">
        <f t="shared" si="52"/>
        <v>16250.659999999985</v>
      </c>
      <c r="BJ116" s="6">
        <f t="shared" si="52"/>
        <v>-55548.140000000007</v>
      </c>
      <c r="BK116" s="6">
        <f t="shared" si="52"/>
        <v>-10965.269999999995</v>
      </c>
      <c r="BL116" s="6">
        <f t="shared" si="52"/>
        <v>54224.529999999992</v>
      </c>
      <c r="BM116" s="6">
        <f t="shared" si="52"/>
        <v>-80185.61</v>
      </c>
      <c r="BN116" s="6">
        <f t="shared" ref="BN116:CA116" si="53">BN111+SUM(BN113)-SUM(BN115)</f>
        <v>22198.779999999984</v>
      </c>
      <c r="BO116" s="6">
        <f t="shared" si="53"/>
        <v>31112.26000000002</v>
      </c>
      <c r="BP116" s="6">
        <f t="shared" si="53"/>
        <v>15377.769999999995</v>
      </c>
      <c r="BQ116" s="6">
        <f t="shared" si="53"/>
        <v>74209.119999999995</v>
      </c>
      <c r="BR116" s="6">
        <f t="shared" si="53"/>
        <v>61132.770000000011</v>
      </c>
      <c r="BS116" s="6">
        <f t="shared" si="53"/>
        <v>132010.48000000001</v>
      </c>
      <c r="BT116" s="6">
        <f t="shared" si="53"/>
        <v>78750.020000000033</v>
      </c>
      <c r="BU116" s="6">
        <f t="shared" si="53"/>
        <v>103517.70999999998</v>
      </c>
      <c r="BV116" s="6">
        <f t="shared" si="53"/>
        <v>154762.71</v>
      </c>
      <c r="BW116" s="6">
        <f t="shared" si="53"/>
        <v>24295.460000000003</v>
      </c>
      <c r="BX116" s="6">
        <f t="shared" si="53"/>
        <v>154073.21</v>
      </c>
      <c r="BY116" s="6">
        <f t="shared" si="53"/>
        <v>-30934.940000000002</v>
      </c>
      <c r="BZ116" s="6">
        <f t="shared" si="53"/>
        <v>15897.569999999996</v>
      </c>
      <c r="CA116" s="6">
        <f t="shared" si="53"/>
        <v>51161.809999999976</v>
      </c>
    </row>
    <row r="117" spans="1:79" x14ac:dyDescent="0.3">
      <c r="A117" s="5" t="s">
        <v>193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</row>
    <row r="118" spans="1:79" x14ac:dyDescent="0.3">
      <c r="A118" s="12" t="s">
        <v>194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-11280</v>
      </c>
      <c r="AS118" s="10">
        <v>10551</v>
      </c>
      <c r="AT118" s="10">
        <v>7396</v>
      </c>
      <c r="AU118" s="10">
        <v>0</v>
      </c>
      <c r="AV118" s="10">
        <v>0</v>
      </c>
      <c r="AW118" s="10">
        <v>0</v>
      </c>
      <c r="AX118" s="10">
        <v>51180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</row>
    <row r="119" spans="1:79" x14ac:dyDescent="0.3">
      <c r="A119" s="5" t="s">
        <v>195</v>
      </c>
      <c r="B119" s="6">
        <f t="shared" ref="B119:AG119" si="54">B116-SUM(B118)</f>
        <v>48588.38</v>
      </c>
      <c r="C119" s="6">
        <f t="shared" si="54"/>
        <v>11128.260000000006</v>
      </c>
      <c r="D119" s="6">
        <f t="shared" si="54"/>
        <v>-14407</v>
      </c>
      <c r="E119" s="6">
        <f t="shared" si="54"/>
        <v>9057.2800000000097</v>
      </c>
      <c r="F119" s="6">
        <f t="shared" si="54"/>
        <v>-4841.8600000000042</v>
      </c>
      <c r="G119" s="6">
        <f t="shared" si="54"/>
        <v>-11982.210000000005</v>
      </c>
      <c r="H119" s="6">
        <f t="shared" si="54"/>
        <v>48548.259999999995</v>
      </c>
      <c r="I119" s="6">
        <f t="shared" si="54"/>
        <v>76226.849999999991</v>
      </c>
      <c r="J119" s="6">
        <f t="shared" si="54"/>
        <v>-16127.649999999994</v>
      </c>
      <c r="K119" s="6">
        <f t="shared" si="54"/>
        <v>-22099.78</v>
      </c>
      <c r="L119" s="6">
        <f t="shared" si="54"/>
        <v>50936.959999999999</v>
      </c>
      <c r="M119" s="6">
        <f t="shared" si="54"/>
        <v>-7180.2999999999984</v>
      </c>
      <c r="N119" s="6">
        <f t="shared" si="54"/>
        <v>-51324.639999999999</v>
      </c>
      <c r="O119" s="6">
        <f t="shared" si="54"/>
        <v>29797.119999999992</v>
      </c>
      <c r="P119" s="6">
        <f t="shared" si="54"/>
        <v>45110.92</v>
      </c>
      <c r="Q119" s="6">
        <f t="shared" si="54"/>
        <v>-53196.350000000006</v>
      </c>
      <c r="R119" s="6">
        <f t="shared" si="54"/>
        <v>79397.91</v>
      </c>
      <c r="S119" s="6">
        <f t="shared" si="54"/>
        <v>15253.919999999982</v>
      </c>
      <c r="T119" s="6">
        <f t="shared" si="54"/>
        <v>4245.6800000000039</v>
      </c>
      <c r="U119" s="6">
        <f t="shared" si="54"/>
        <v>112475.93000000001</v>
      </c>
      <c r="V119" s="6">
        <f t="shared" si="54"/>
        <v>4468.989999999998</v>
      </c>
      <c r="W119" s="6">
        <f t="shared" si="54"/>
        <v>-5487.0799999999972</v>
      </c>
      <c r="X119" s="6">
        <f t="shared" si="54"/>
        <v>16472.640000000003</v>
      </c>
      <c r="Y119" s="6">
        <f t="shared" si="54"/>
        <v>66875.12</v>
      </c>
      <c r="Z119" s="6">
        <f t="shared" si="54"/>
        <v>-26067.989999999998</v>
      </c>
      <c r="AA119" s="6">
        <f t="shared" si="54"/>
        <v>2930.3000000000029</v>
      </c>
      <c r="AB119" s="6">
        <f t="shared" si="54"/>
        <v>12757.360000000015</v>
      </c>
      <c r="AC119" s="6">
        <f t="shared" si="54"/>
        <v>-32619.289999999997</v>
      </c>
      <c r="AD119" s="6">
        <f t="shared" si="54"/>
        <v>17338.149999999998</v>
      </c>
      <c r="AE119" s="6">
        <f t="shared" si="54"/>
        <v>-16294.659999999954</v>
      </c>
      <c r="AF119" s="6">
        <f t="shared" si="54"/>
        <v>31691.729999999985</v>
      </c>
      <c r="AG119" s="6">
        <f t="shared" si="54"/>
        <v>11913.769999999995</v>
      </c>
      <c r="AH119" s="6">
        <f t="shared" ref="AH119:BM119" si="55">AH116-SUM(AH118)</f>
        <v>31790.9</v>
      </c>
      <c r="AI119" s="6">
        <f t="shared" si="55"/>
        <v>-23441.379999999994</v>
      </c>
      <c r="AJ119" s="6">
        <f t="shared" si="55"/>
        <v>17497.64</v>
      </c>
      <c r="AK119" s="6">
        <f t="shared" si="55"/>
        <v>59637.629999999976</v>
      </c>
      <c r="AL119" s="6">
        <f t="shared" si="55"/>
        <v>21702.700000000004</v>
      </c>
      <c r="AM119" s="6">
        <f t="shared" si="55"/>
        <v>-11165.759999999984</v>
      </c>
      <c r="AN119" s="6">
        <f t="shared" si="55"/>
        <v>-21068.320000000014</v>
      </c>
      <c r="AO119" s="6">
        <f t="shared" si="55"/>
        <v>-33587.239999999976</v>
      </c>
      <c r="AP119" s="6">
        <f t="shared" si="55"/>
        <v>105695.94000000002</v>
      </c>
      <c r="AQ119" s="6">
        <f t="shared" si="55"/>
        <v>40266.779999999992</v>
      </c>
      <c r="AR119" s="6">
        <f t="shared" si="55"/>
        <v>-40280.410000000003</v>
      </c>
      <c r="AS119" s="6">
        <f t="shared" si="55"/>
        <v>34310.920000000006</v>
      </c>
      <c r="AT119" s="6">
        <f t="shared" si="55"/>
        <v>15931.650000000009</v>
      </c>
      <c r="AU119" s="6">
        <f t="shared" si="55"/>
        <v>39741.30000000001</v>
      </c>
      <c r="AV119" s="6">
        <f t="shared" si="55"/>
        <v>22729.470000000023</v>
      </c>
      <c r="AW119" s="6">
        <f t="shared" si="55"/>
        <v>39739.69000000001</v>
      </c>
      <c r="AX119" s="6">
        <f t="shared" si="55"/>
        <v>34604.950000000012</v>
      </c>
      <c r="AY119" s="6">
        <f t="shared" si="55"/>
        <v>6670.1999999999889</v>
      </c>
      <c r="AZ119" s="6">
        <f t="shared" si="55"/>
        <v>-85265.479999999938</v>
      </c>
      <c r="BA119" s="6">
        <f t="shared" si="55"/>
        <v>183923.27000000002</v>
      </c>
      <c r="BB119" s="6">
        <f t="shared" si="55"/>
        <v>-106682.48000000004</v>
      </c>
      <c r="BC119" s="6">
        <f t="shared" si="55"/>
        <v>67792.070000000007</v>
      </c>
      <c r="BD119" s="6">
        <f t="shared" si="55"/>
        <v>77481.820000000036</v>
      </c>
      <c r="BE119" s="6">
        <f t="shared" si="55"/>
        <v>-35392.610000000015</v>
      </c>
      <c r="BF119" s="6">
        <f t="shared" si="55"/>
        <v>-107750.45</v>
      </c>
      <c r="BG119" s="6">
        <f t="shared" si="55"/>
        <v>81039.719999999987</v>
      </c>
      <c r="BH119" s="6">
        <f t="shared" si="55"/>
        <v>2536.50000000002</v>
      </c>
      <c r="BI119" s="6">
        <f t="shared" si="55"/>
        <v>16250.659999999985</v>
      </c>
      <c r="BJ119" s="6">
        <f t="shared" si="55"/>
        <v>-55548.140000000007</v>
      </c>
      <c r="BK119" s="6">
        <f t="shared" si="55"/>
        <v>-10965.269999999995</v>
      </c>
      <c r="BL119" s="6">
        <f t="shared" si="55"/>
        <v>54224.529999999992</v>
      </c>
      <c r="BM119" s="6">
        <f t="shared" si="55"/>
        <v>-80185.61</v>
      </c>
      <c r="BN119" s="6">
        <f t="shared" ref="BN119:CA119" si="56">BN116-SUM(BN118)</f>
        <v>22198.779999999984</v>
      </c>
      <c r="BO119" s="6">
        <f t="shared" si="56"/>
        <v>31112.26000000002</v>
      </c>
      <c r="BP119" s="6">
        <f t="shared" si="56"/>
        <v>15377.769999999995</v>
      </c>
      <c r="BQ119" s="6">
        <f t="shared" si="56"/>
        <v>74209.119999999995</v>
      </c>
      <c r="BR119" s="6">
        <f t="shared" si="56"/>
        <v>61132.770000000011</v>
      </c>
      <c r="BS119" s="6">
        <f t="shared" si="56"/>
        <v>132010.48000000001</v>
      </c>
      <c r="BT119" s="6">
        <f t="shared" si="56"/>
        <v>78750.020000000033</v>
      </c>
      <c r="BU119" s="6">
        <f t="shared" si="56"/>
        <v>103517.70999999998</v>
      </c>
      <c r="BV119" s="6">
        <f t="shared" si="56"/>
        <v>154762.71</v>
      </c>
      <c r="BW119" s="6">
        <f t="shared" si="56"/>
        <v>24295.460000000003</v>
      </c>
      <c r="BX119" s="6">
        <f t="shared" si="56"/>
        <v>154073.21</v>
      </c>
      <c r="BY119" s="6">
        <f t="shared" si="56"/>
        <v>-30934.940000000002</v>
      </c>
      <c r="BZ119" s="6">
        <f t="shared" si="56"/>
        <v>15897.569999999996</v>
      </c>
      <c r="CA119" s="6">
        <f t="shared" si="56"/>
        <v>51161.809999999976</v>
      </c>
    </row>
    <row r="120" spans="1:79" x14ac:dyDescent="0.3">
      <c r="A120" s="5" t="s">
        <v>196</v>
      </c>
      <c r="B120" s="6">
        <f t="shared" ref="B120:AG120" si="57">B119</f>
        <v>48588.38</v>
      </c>
      <c r="C120" s="6">
        <f t="shared" si="57"/>
        <v>11128.260000000006</v>
      </c>
      <c r="D120" s="6">
        <f t="shared" si="57"/>
        <v>-14407</v>
      </c>
      <c r="E120" s="6">
        <f t="shared" si="57"/>
        <v>9057.2800000000097</v>
      </c>
      <c r="F120" s="6">
        <f t="shared" si="57"/>
        <v>-4841.8600000000042</v>
      </c>
      <c r="G120" s="6">
        <f t="shared" si="57"/>
        <v>-11982.210000000005</v>
      </c>
      <c r="H120" s="6">
        <f t="shared" si="57"/>
        <v>48548.259999999995</v>
      </c>
      <c r="I120" s="6">
        <f t="shared" si="57"/>
        <v>76226.849999999991</v>
      </c>
      <c r="J120" s="6">
        <f t="shared" si="57"/>
        <v>-16127.649999999994</v>
      </c>
      <c r="K120" s="6">
        <f t="shared" si="57"/>
        <v>-22099.78</v>
      </c>
      <c r="L120" s="6">
        <f t="shared" si="57"/>
        <v>50936.959999999999</v>
      </c>
      <c r="M120" s="6">
        <f t="shared" si="57"/>
        <v>-7180.2999999999984</v>
      </c>
      <c r="N120" s="6">
        <f t="shared" si="57"/>
        <v>-51324.639999999999</v>
      </c>
      <c r="O120" s="6">
        <f t="shared" si="57"/>
        <v>29797.119999999992</v>
      </c>
      <c r="P120" s="6">
        <f t="shared" si="57"/>
        <v>45110.92</v>
      </c>
      <c r="Q120" s="6">
        <f t="shared" si="57"/>
        <v>-53196.350000000006</v>
      </c>
      <c r="R120" s="6">
        <f t="shared" si="57"/>
        <v>79397.91</v>
      </c>
      <c r="S120" s="6">
        <f t="shared" si="57"/>
        <v>15253.919999999982</v>
      </c>
      <c r="T120" s="6">
        <f t="shared" si="57"/>
        <v>4245.6800000000039</v>
      </c>
      <c r="U120" s="6">
        <f t="shared" si="57"/>
        <v>112475.93000000001</v>
      </c>
      <c r="V120" s="6">
        <f t="shared" si="57"/>
        <v>4468.989999999998</v>
      </c>
      <c r="W120" s="6">
        <f t="shared" si="57"/>
        <v>-5487.0799999999972</v>
      </c>
      <c r="X120" s="6">
        <f t="shared" si="57"/>
        <v>16472.640000000003</v>
      </c>
      <c r="Y120" s="6">
        <f t="shared" si="57"/>
        <v>66875.12</v>
      </c>
      <c r="Z120" s="6">
        <f t="shared" si="57"/>
        <v>-26067.989999999998</v>
      </c>
      <c r="AA120" s="6">
        <f t="shared" si="57"/>
        <v>2930.3000000000029</v>
      </c>
      <c r="AB120" s="6">
        <f t="shared" si="57"/>
        <v>12757.360000000015</v>
      </c>
      <c r="AC120" s="6">
        <f t="shared" si="57"/>
        <v>-32619.289999999997</v>
      </c>
      <c r="AD120" s="6">
        <f t="shared" si="57"/>
        <v>17338.149999999998</v>
      </c>
      <c r="AE120" s="6">
        <f t="shared" si="57"/>
        <v>-16294.659999999954</v>
      </c>
      <c r="AF120" s="6">
        <f t="shared" si="57"/>
        <v>31691.729999999985</v>
      </c>
      <c r="AG120" s="6">
        <f t="shared" si="57"/>
        <v>11913.769999999995</v>
      </c>
      <c r="AH120" s="6">
        <f t="shared" ref="AH120:BM120" si="58">AH119</f>
        <v>31790.9</v>
      </c>
      <c r="AI120" s="6">
        <f t="shared" si="58"/>
        <v>-23441.379999999994</v>
      </c>
      <c r="AJ120" s="6">
        <f t="shared" si="58"/>
        <v>17497.64</v>
      </c>
      <c r="AK120" s="6">
        <f t="shared" si="58"/>
        <v>59637.629999999976</v>
      </c>
      <c r="AL120" s="6">
        <f t="shared" si="58"/>
        <v>21702.700000000004</v>
      </c>
      <c r="AM120" s="6">
        <f t="shared" si="58"/>
        <v>-11165.759999999984</v>
      </c>
      <c r="AN120" s="6">
        <f t="shared" si="58"/>
        <v>-21068.320000000014</v>
      </c>
      <c r="AO120" s="6">
        <f t="shared" si="58"/>
        <v>-33587.239999999976</v>
      </c>
      <c r="AP120" s="6">
        <f t="shared" si="58"/>
        <v>105695.94000000002</v>
      </c>
      <c r="AQ120" s="6">
        <f t="shared" si="58"/>
        <v>40266.779999999992</v>
      </c>
      <c r="AR120" s="6">
        <f t="shared" si="58"/>
        <v>-40280.410000000003</v>
      </c>
      <c r="AS120" s="6">
        <f t="shared" si="58"/>
        <v>34310.920000000006</v>
      </c>
      <c r="AT120" s="6">
        <f t="shared" si="58"/>
        <v>15931.650000000009</v>
      </c>
      <c r="AU120" s="6">
        <f t="shared" si="58"/>
        <v>39741.30000000001</v>
      </c>
      <c r="AV120" s="6">
        <f t="shared" si="58"/>
        <v>22729.470000000023</v>
      </c>
      <c r="AW120" s="6">
        <f t="shared" si="58"/>
        <v>39739.69000000001</v>
      </c>
      <c r="AX120" s="6">
        <f t="shared" si="58"/>
        <v>34604.950000000012</v>
      </c>
      <c r="AY120" s="6">
        <f t="shared" si="58"/>
        <v>6670.1999999999889</v>
      </c>
      <c r="AZ120" s="6">
        <f t="shared" si="58"/>
        <v>-85265.479999999938</v>
      </c>
      <c r="BA120" s="6">
        <f t="shared" si="58"/>
        <v>183923.27000000002</v>
      </c>
      <c r="BB120" s="6">
        <f t="shared" si="58"/>
        <v>-106682.48000000004</v>
      </c>
      <c r="BC120" s="6">
        <f t="shared" si="58"/>
        <v>67792.070000000007</v>
      </c>
      <c r="BD120" s="6">
        <f t="shared" si="58"/>
        <v>77481.820000000036</v>
      </c>
      <c r="BE120" s="6">
        <f t="shared" si="58"/>
        <v>-35392.610000000015</v>
      </c>
      <c r="BF120" s="6">
        <f t="shared" si="58"/>
        <v>-107750.45</v>
      </c>
      <c r="BG120" s="6">
        <f t="shared" si="58"/>
        <v>81039.719999999987</v>
      </c>
      <c r="BH120" s="6">
        <f t="shared" si="58"/>
        <v>2536.50000000002</v>
      </c>
      <c r="BI120" s="6">
        <f t="shared" si="58"/>
        <v>16250.659999999985</v>
      </c>
      <c r="BJ120" s="6">
        <f t="shared" si="58"/>
        <v>-55548.140000000007</v>
      </c>
      <c r="BK120" s="6">
        <f t="shared" si="58"/>
        <v>-10965.269999999995</v>
      </c>
      <c r="BL120" s="6">
        <f t="shared" si="58"/>
        <v>54224.529999999992</v>
      </c>
      <c r="BM120" s="6">
        <f t="shared" si="58"/>
        <v>-80185.61</v>
      </c>
      <c r="BN120" s="6">
        <f t="shared" ref="BN120:CA120" si="59">BN119</f>
        <v>22198.779999999984</v>
      </c>
      <c r="BO120" s="6">
        <f t="shared" si="59"/>
        <v>31112.26000000002</v>
      </c>
      <c r="BP120" s="6">
        <f t="shared" si="59"/>
        <v>15377.769999999995</v>
      </c>
      <c r="BQ120" s="6">
        <f t="shared" si="59"/>
        <v>74209.119999999995</v>
      </c>
      <c r="BR120" s="6">
        <f t="shared" si="59"/>
        <v>61132.770000000011</v>
      </c>
      <c r="BS120" s="6">
        <f t="shared" si="59"/>
        <v>132010.48000000001</v>
      </c>
      <c r="BT120" s="6">
        <f t="shared" si="59"/>
        <v>78750.020000000033</v>
      </c>
      <c r="BU120" s="6">
        <f t="shared" si="59"/>
        <v>103517.70999999998</v>
      </c>
      <c r="BV120" s="6">
        <f t="shared" si="59"/>
        <v>154762.71</v>
      </c>
      <c r="BW120" s="6">
        <f t="shared" si="59"/>
        <v>24295.460000000003</v>
      </c>
      <c r="BX120" s="6">
        <f t="shared" si="59"/>
        <v>154073.21</v>
      </c>
      <c r="BY120" s="6">
        <f t="shared" si="59"/>
        <v>-30934.940000000002</v>
      </c>
      <c r="BZ120" s="6">
        <f t="shared" si="59"/>
        <v>15897.569999999996</v>
      </c>
      <c r="CA120" s="6">
        <f t="shared" si="59"/>
        <v>51161.809999999976</v>
      </c>
    </row>
    <row r="121" spans="1:79" x14ac:dyDescent="0.3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</row>
    <row r="122" spans="1:79" x14ac:dyDescent="0.3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</row>
    <row r="123" spans="1:79" x14ac:dyDescent="0.3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</row>
    <row r="124" spans="1:79" x14ac:dyDescent="0.3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</row>
    <row r="125" spans="1:79" x14ac:dyDescent="0.3">
      <c r="A125" s="12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</row>
    <row r="126" spans="1:79" x14ac:dyDescent="0.3">
      <c r="A126" s="12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</row>
    <row r="127" spans="1:79" x14ac:dyDescent="0.3">
      <c r="A127" s="12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</row>
    <row r="128" spans="1:79" x14ac:dyDescent="0.3">
      <c r="A128" s="12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</row>
    <row r="129" spans="1:79" x14ac:dyDescent="0.3">
      <c r="A129" s="12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</row>
    <row r="130" spans="1:79" x14ac:dyDescent="0.3">
      <c r="A130" s="12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</row>
    <row r="131" spans="1:79" x14ac:dyDescent="0.3">
      <c r="A131" s="12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</row>
    <row r="132" spans="1:79" x14ac:dyDescent="0.3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</row>
    <row r="133" spans="1:79" x14ac:dyDescent="0.3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</row>
    <row r="134" spans="1:79" x14ac:dyDescent="0.3">
      <c r="A134" s="12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</row>
    <row r="135" spans="1:79" x14ac:dyDescent="0.3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</row>
    <row r="136" spans="1:79" x14ac:dyDescent="0.3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</row>
    <row r="137" spans="1:79" x14ac:dyDescent="0.3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</row>
    <row r="138" spans="1:79" x14ac:dyDescent="0.3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</row>
    <row r="139" spans="1:79" x14ac:dyDescent="0.3">
      <c r="A139" s="1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</row>
    <row r="140" spans="1:79" x14ac:dyDescent="0.3">
      <c r="A140" s="12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</row>
    <row r="141" spans="1:79" x14ac:dyDescent="0.3">
      <c r="A141" s="12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</row>
    <row r="142" spans="1:79" x14ac:dyDescent="0.3">
      <c r="A142" s="12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</row>
    <row r="143" spans="1:79" x14ac:dyDescent="0.3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</row>
    <row r="144" spans="1:79" x14ac:dyDescent="0.3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</row>
    <row r="145" spans="1:79" x14ac:dyDescent="0.3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</row>
    <row r="146" spans="1:79" x14ac:dyDescent="0.3">
      <c r="A146" s="1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</row>
    <row r="147" spans="1:79" x14ac:dyDescent="0.3">
      <c r="A147" s="12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</row>
    <row r="148" spans="1:79" x14ac:dyDescent="0.3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</row>
    <row r="149" spans="1:79" x14ac:dyDescent="0.3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</row>
    <row r="150" spans="1:79" x14ac:dyDescent="0.3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</row>
    <row r="151" spans="1:79" x14ac:dyDescent="0.3">
      <c r="A151" s="12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</row>
    <row r="152" spans="1:79" x14ac:dyDescent="0.3">
      <c r="A152" s="12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</row>
    <row r="153" spans="1:79" x14ac:dyDescent="0.3">
      <c r="A153" s="12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</row>
    <row r="154" spans="1:79" x14ac:dyDescent="0.3">
      <c r="A154" s="12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</row>
    <row r="155" spans="1:79" x14ac:dyDescent="0.3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</row>
    <row r="156" spans="1:79" x14ac:dyDescent="0.3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</row>
    <row r="157" spans="1:79" x14ac:dyDescent="0.3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</row>
    <row r="158" spans="1:79" x14ac:dyDescent="0.3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</row>
    <row r="159" spans="1:79" x14ac:dyDescent="0.3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</row>
    <row r="160" spans="1:79" x14ac:dyDescent="0.3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</row>
    <row r="161" spans="1:79" x14ac:dyDescent="0.3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</row>
    <row r="162" spans="1:79" x14ac:dyDescent="0.3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</row>
    <row r="163" spans="1:79" x14ac:dyDescent="0.3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</row>
    <row r="164" spans="1:79" x14ac:dyDescent="0.3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</row>
    <row r="165" spans="1:79" x14ac:dyDescent="0.3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</row>
    <row r="166" spans="1:79" x14ac:dyDescent="0.3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</row>
    <row r="167" spans="1:79" x14ac:dyDescent="0.3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</row>
    <row r="168" spans="1:79" x14ac:dyDescent="0.3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</row>
    <row r="169" spans="1:79" x14ac:dyDescent="0.3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</row>
    <row r="170" spans="1:79" x14ac:dyDescent="0.3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</row>
    <row r="171" spans="1:79" x14ac:dyDescent="0.3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</row>
    <row r="172" spans="1:79" x14ac:dyDescent="0.3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</row>
    <row r="173" spans="1:79" x14ac:dyDescent="0.3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</row>
    <row r="174" spans="1:79" x14ac:dyDescent="0.3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</row>
    <row r="175" spans="1:79" x14ac:dyDescent="0.3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</row>
    <row r="176" spans="1:79" x14ac:dyDescent="0.3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</row>
    <row r="177" spans="1:79" x14ac:dyDescent="0.3">
      <c r="A177" s="1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</row>
    <row r="178" spans="1:79" x14ac:dyDescent="0.3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</row>
    <row r="179" spans="1:79" x14ac:dyDescent="0.3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</row>
    <row r="180" spans="1:79" x14ac:dyDescent="0.3">
      <c r="A180" s="12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</row>
    <row r="181" spans="1:79" x14ac:dyDescent="0.3">
      <c r="A181" s="12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</row>
    <row r="182" spans="1:79" x14ac:dyDescent="0.3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</row>
    <row r="183" spans="1:79" x14ac:dyDescent="0.3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</row>
    <row r="184" spans="1:79" x14ac:dyDescent="0.3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</row>
    <row r="185" spans="1:79" x14ac:dyDescent="0.3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</row>
    <row r="186" spans="1:79" x14ac:dyDescent="0.3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</row>
    <row r="187" spans="1:79" x14ac:dyDescent="0.3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</row>
    <row r="188" spans="1:79" x14ac:dyDescent="0.3">
      <c r="A188" s="12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</row>
    <row r="189" spans="1:79" x14ac:dyDescent="0.3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</row>
    <row r="190" spans="1:79" x14ac:dyDescent="0.3">
      <c r="A190" s="12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</row>
    <row r="191" spans="1:79" x14ac:dyDescent="0.3">
      <c r="A191" s="12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</row>
    <row r="192" spans="1:79" x14ac:dyDescent="0.3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</row>
    <row r="193" spans="1:79" x14ac:dyDescent="0.3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</row>
    <row r="194" spans="1:79" x14ac:dyDescent="0.3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</row>
    <row r="195" spans="1:79" x14ac:dyDescent="0.3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</row>
    <row r="196" spans="1:79" x14ac:dyDescent="0.3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</row>
    <row r="197" spans="1:79" x14ac:dyDescent="0.3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</row>
    <row r="198" spans="1:79" x14ac:dyDescent="0.3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</row>
    <row r="199" spans="1:79" x14ac:dyDescent="0.3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</row>
    <row r="200" spans="1:79" x14ac:dyDescent="0.3">
      <c r="A200" s="1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</row>
    <row r="201" spans="1:79" x14ac:dyDescent="0.3">
      <c r="A201" s="12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</row>
    <row r="202" spans="1:79" x14ac:dyDescent="0.3">
      <c r="A202" s="12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</row>
    <row r="203" spans="1:79" x14ac:dyDescent="0.3">
      <c r="A203" s="12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</row>
    <row r="204" spans="1:79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</row>
    <row r="205" spans="1:79" x14ac:dyDescent="0.3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</row>
    <row r="206" spans="1:79" x14ac:dyDescent="0.3">
      <c r="A206" s="12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</row>
    <row r="207" spans="1:79" x14ac:dyDescent="0.3">
      <c r="A207" s="12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</row>
    <row r="208" spans="1:79" x14ac:dyDescent="0.3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</row>
    <row r="209" spans="1:79" x14ac:dyDescent="0.3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</row>
    <row r="210" spans="1:79" x14ac:dyDescent="0.3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</row>
    <row r="211" spans="1:79" x14ac:dyDescent="0.3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</row>
    <row r="212" spans="1:79" x14ac:dyDescent="0.3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</row>
    <row r="213" spans="1:79" x14ac:dyDescent="0.3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</row>
    <row r="214" spans="1:79" x14ac:dyDescent="0.3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</row>
    <row r="215" spans="1:79" x14ac:dyDescent="0.3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</row>
    <row r="216" spans="1:79" x14ac:dyDescent="0.3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</row>
    <row r="217" spans="1:79" x14ac:dyDescent="0.3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</row>
    <row r="218" spans="1:79" x14ac:dyDescent="0.3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</row>
    <row r="219" spans="1:79" x14ac:dyDescent="0.3">
      <c r="A219" s="1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</row>
    <row r="220" spans="1:79" x14ac:dyDescent="0.3">
      <c r="A220" s="12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</row>
    <row r="221" spans="1:79" x14ac:dyDescent="0.3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</row>
    <row r="222" spans="1:79" x14ac:dyDescent="0.3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</row>
    <row r="223" spans="1:79" x14ac:dyDescent="0.3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</row>
    <row r="224" spans="1:79" x14ac:dyDescent="0.3">
      <c r="A224" s="1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</row>
    <row r="225" spans="1:79" x14ac:dyDescent="0.3">
      <c r="A225" s="12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</row>
    <row r="226" spans="1:79" x14ac:dyDescent="0.3">
      <c r="A226" s="12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</row>
    <row r="227" spans="1:79" x14ac:dyDescent="0.3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</row>
    <row r="228" spans="1:79" x14ac:dyDescent="0.3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</row>
    <row r="229" spans="1:79" x14ac:dyDescent="0.3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</row>
    <row r="230" spans="1:79" x14ac:dyDescent="0.3">
      <c r="A230" s="12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</row>
    <row r="231" spans="1:79" x14ac:dyDescent="0.3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</row>
    <row r="232" spans="1:79" x14ac:dyDescent="0.3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</row>
    <row r="233" spans="1:79" x14ac:dyDescent="0.3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</row>
    <row r="234" spans="1:79" x14ac:dyDescent="0.3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</row>
    <row r="235" spans="1:79" x14ac:dyDescent="0.3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</row>
    <row r="236" spans="1:79" x14ac:dyDescent="0.3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</row>
    <row r="237" spans="1:79" x14ac:dyDescent="0.3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</row>
    <row r="238" spans="1:79" x14ac:dyDescent="0.3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</row>
    <row r="239" spans="1:79" x14ac:dyDescent="0.3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</row>
    <row r="240" spans="1:79" x14ac:dyDescent="0.3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</row>
    <row r="241" spans="1:79" x14ac:dyDescent="0.3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</row>
    <row r="242" spans="1:79" x14ac:dyDescent="0.3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</row>
    <row r="243" spans="1:79" x14ac:dyDescent="0.3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</row>
    <row r="244" spans="1:79" x14ac:dyDescent="0.3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</row>
    <row r="245" spans="1:79" x14ac:dyDescent="0.3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</row>
    <row r="246" spans="1:79" x14ac:dyDescent="0.3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</row>
    <row r="247" spans="1:79" x14ac:dyDescent="0.3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</row>
    <row r="248" spans="1:79" x14ac:dyDescent="0.3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</row>
    <row r="249" spans="1:79" x14ac:dyDescent="0.3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</row>
    <row r="250" spans="1:79" x14ac:dyDescent="0.3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</row>
    <row r="251" spans="1:79" x14ac:dyDescent="0.3">
      <c r="A251" s="1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</row>
    <row r="252" spans="1:79" x14ac:dyDescent="0.3">
      <c r="A252" s="12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</row>
    <row r="253" spans="1:79" x14ac:dyDescent="0.3">
      <c r="A253" s="12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</row>
    <row r="254" spans="1:79" x14ac:dyDescent="0.3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</row>
    <row r="255" spans="1:79" x14ac:dyDescent="0.3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</row>
    <row r="256" spans="1:79" x14ac:dyDescent="0.3">
      <c r="A256" s="12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</row>
    <row r="257" spans="1:79" x14ac:dyDescent="0.3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</row>
    <row r="258" spans="1:79" x14ac:dyDescent="0.3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</row>
    <row r="259" spans="1:79" x14ac:dyDescent="0.3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</row>
    <row r="260" spans="1:79" x14ac:dyDescent="0.3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</row>
    <row r="261" spans="1:79" x14ac:dyDescent="0.3">
      <c r="A261" s="12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</row>
    <row r="262" spans="1:79" x14ac:dyDescent="0.3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</row>
    <row r="263" spans="1:79" x14ac:dyDescent="0.3">
      <c r="A263" s="12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</row>
    <row r="264" spans="1:79" x14ac:dyDescent="0.3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</row>
    <row r="265" spans="1:79" x14ac:dyDescent="0.3">
      <c r="A265" s="12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</row>
    <row r="266" spans="1:79" x14ac:dyDescent="0.3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</row>
    <row r="267" spans="1:79" x14ac:dyDescent="0.3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B972-FDE4-4002-82E1-B5D969236A70}">
  <dimension ref="A1:CA148"/>
  <sheetViews>
    <sheetView tabSelected="1" workbookViewId="0">
      <selection activeCell="D10" sqref="D10"/>
    </sheetView>
  </sheetViews>
  <sheetFormatPr defaultRowHeight="14.4" x14ac:dyDescent="0.3"/>
  <cols>
    <col min="1" max="1" width="24.33203125" customWidth="1"/>
  </cols>
  <sheetData>
    <row r="1" spans="1:79" s="1" customFormat="1" ht="24" customHeight="1" x14ac:dyDescent="0.5">
      <c r="A1" s="1" t="s">
        <v>0</v>
      </c>
      <c r="C1" s="14" t="s">
        <v>1</v>
      </c>
    </row>
    <row r="2" spans="1:79" s="2" customFormat="1" x14ac:dyDescent="0.3">
      <c r="A2" s="4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  <c r="BD2" s="3" t="s">
        <v>57</v>
      </c>
      <c r="BE2" s="3" t="s">
        <v>58</v>
      </c>
      <c r="BF2" s="3" t="s">
        <v>59</v>
      </c>
      <c r="BG2" s="3" t="s">
        <v>60</v>
      </c>
      <c r="BH2" s="3" t="s">
        <v>61</v>
      </c>
      <c r="BI2" s="3" t="s">
        <v>62</v>
      </c>
      <c r="BJ2" s="3" t="s">
        <v>63</v>
      </c>
      <c r="BK2" s="3" t="s">
        <v>64</v>
      </c>
      <c r="BL2" s="3" t="s">
        <v>65</v>
      </c>
      <c r="BM2" s="3" t="s">
        <v>66</v>
      </c>
      <c r="BN2" s="3" t="s">
        <v>67</v>
      </c>
      <c r="BO2" s="3" t="s">
        <v>68</v>
      </c>
      <c r="BP2" s="3" t="s">
        <v>69</v>
      </c>
      <c r="BQ2" s="3" t="s">
        <v>70</v>
      </c>
      <c r="BR2" s="3" t="s">
        <v>71</v>
      </c>
      <c r="BS2" s="3" t="s">
        <v>72</v>
      </c>
      <c r="BT2" s="3" t="s">
        <v>73</v>
      </c>
      <c r="BU2" s="3" t="s">
        <v>74</v>
      </c>
      <c r="BV2" s="3" t="s">
        <v>75</v>
      </c>
      <c r="BW2" s="3" t="s">
        <v>76</v>
      </c>
      <c r="BX2" s="3" t="s">
        <v>77</v>
      </c>
      <c r="BY2" s="3" t="s">
        <v>78</v>
      </c>
      <c r="BZ2" s="3" t="s">
        <v>79</v>
      </c>
      <c r="CA2" s="3" t="s">
        <v>80</v>
      </c>
    </row>
    <row r="3" spans="1:79" x14ac:dyDescent="0.3">
      <c r="A3" s="5" t="s">
        <v>197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</row>
    <row r="4" spans="1:79" x14ac:dyDescent="0.3">
      <c r="A4" s="5" t="s">
        <v>198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</row>
    <row r="5" spans="1:79" x14ac:dyDescent="0.3">
      <c r="A5" s="5" t="s">
        <v>199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</row>
    <row r="6" spans="1:79" x14ac:dyDescent="0.3">
      <c r="A6" s="12" t="s">
        <v>200</v>
      </c>
      <c r="B6" s="10">
        <v>70551.22</v>
      </c>
      <c r="C6" s="10">
        <v>70972.92</v>
      </c>
      <c r="D6" s="10">
        <v>71395.53</v>
      </c>
      <c r="E6" s="10">
        <v>101821.95</v>
      </c>
      <c r="F6" s="10">
        <v>102356.63</v>
      </c>
      <c r="G6" s="10">
        <v>102786.41</v>
      </c>
      <c r="H6" s="10">
        <v>61302.79</v>
      </c>
      <c r="I6" s="10">
        <v>61712.38</v>
      </c>
      <c r="J6" s="10">
        <v>62120.27</v>
      </c>
      <c r="K6" s="10">
        <v>104630.97</v>
      </c>
      <c r="L6" s="10">
        <v>105043.46</v>
      </c>
      <c r="M6" s="10">
        <v>105457.31</v>
      </c>
      <c r="N6" s="10">
        <v>105970.74</v>
      </c>
      <c r="O6" s="10">
        <v>106382.92</v>
      </c>
      <c r="P6" s="10">
        <v>6791.57</v>
      </c>
      <c r="Q6" s="10">
        <v>7292.44</v>
      </c>
      <c r="R6" s="10">
        <v>7693.32</v>
      </c>
      <c r="S6" s="10">
        <v>108095.31</v>
      </c>
      <c r="T6" s="10">
        <v>128600.72</v>
      </c>
      <c r="U6" s="10">
        <v>49004.21</v>
      </c>
      <c r="V6" s="10">
        <v>64506.78</v>
      </c>
      <c r="W6" s="10">
        <v>64909.43</v>
      </c>
      <c r="X6" s="10">
        <v>65312.19</v>
      </c>
      <c r="Y6" s="10">
        <v>65814.960000000006</v>
      </c>
      <c r="Z6" s="10">
        <v>106218.95</v>
      </c>
      <c r="AA6" s="10">
        <v>106623.03</v>
      </c>
      <c r="AB6" s="10">
        <v>107127.86</v>
      </c>
      <c r="AC6" s="10">
        <v>107532.27</v>
      </c>
      <c r="AD6" s="10">
        <v>107936.85</v>
      </c>
      <c r="AE6" s="10">
        <v>108441.29</v>
      </c>
      <c r="AF6" s="10">
        <v>108845.75999999999</v>
      </c>
      <c r="AG6" s="10">
        <v>109250.54</v>
      </c>
      <c r="AH6" s="10">
        <v>59753.120000000003</v>
      </c>
      <c r="AI6" s="10">
        <v>60154.12</v>
      </c>
      <c r="AJ6" s="10">
        <v>60554.65</v>
      </c>
      <c r="AK6" s="10">
        <v>61055.16</v>
      </c>
      <c r="AL6" s="10">
        <v>61455.68</v>
      </c>
      <c r="AM6" s="10">
        <v>61856.160000000003</v>
      </c>
      <c r="AN6" s="10">
        <v>62356.69</v>
      </c>
      <c r="AO6" s="10">
        <v>62757.18</v>
      </c>
      <c r="AP6" s="10">
        <v>63157.73</v>
      </c>
      <c r="AQ6" s="10">
        <v>63659.199999999997</v>
      </c>
      <c r="AR6" s="10">
        <v>64066.720000000001</v>
      </c>
      <c r="AS6" s="10">
        <v>64581.52</v>
      </c>
      <c r="AT6" s="10">
        <v>115007.82</v>
      </c>
      <c r="AU6" s="10">
        <v>115468.9</v>
      </c>
      <c r="AV6" s="10">
        <v>116049.73</v>
      </c>
      <c r="AW6" s="10">
        <v>66508.61</v>
      </c>
      <c r="AX6" s="10">
        <v>16939.439999999999</v>
      </c>
      <c r="AY6" s="10">
        <v>17351.96</v>
      </c>
      <c r="AZ6" s="10">
        <v>17869.55</v>
      </c>
      <c r="BA6" s="10">
        <v>18286.169999999998</v>
      </c>
      <c r="BB6" s="10">
        <v>18806.62</v>
      </c>
      <c r="BC6" s="10">
        <v>12167.27</v>
      </c>
      <c r="BD6" s="10">
        <v>12581.45</v>
      </c>
      <c r="BE6" s="10">
        <v>11564.47</v>
      </c>
      <c r="BF6" s="10">
        <v>11977.06</v>
      </c>
      <c r="BG6" s="10">
        <v>12391.27</v>
      </c>
      <c r="BH6" s="10">
        <v>900.32</v>
      </c>
      <c r="BI6" s="10">
        <v>1300.32</v>
      </c>
      <c r="BJ6" s="10">
        <v>1800.32</v>
      </c>
      <c r="BK6" s="10">
        <v>2200.3200000000002</v>
      </c>
      <c r="BL6" s="10">
        <v>2600.3200000000002</v>
      </c>
      <c r="BM6" s="10">
        <v>3000.32</v>
      </c>
      <c r="BN6" s="10">
        <v>3500.32</v>
      </c>
      <c r="BO6" s="10">
        <v>3900.32</v>
      </c>
      <c r="BP6" s="10">
        <v>3400.32</v>
      </c>
      <c r="BQ6" s="10">
        <v>3800.32</v>
      </c>
      <c r="BR6" s="10">
        <v>4200.32</v>
      </c>
      <c r="BS6" s="10">
        <v>4600.32</v>
      </c>
      <c r="BT6" s="10">
        <v>5000.63</v>
      </c>
      <c r="BU6" s="10">
        <v>2241.52</v>
      </c>
      <c r="BV6" s="10">
        <v>1541.52</v>
      </c>
      <c r="BW6" s="10">
        <v>1941.52</v>
      </c>
      <c r="BX6" s="10">
        <v>2341.52</v>
      </c>
      <c r="BY6" s="10">
        <v>2841.52</v>
      </c>
      <c r="BZ6" s="10">
        <v>9242.25</v>
      </c>
      <c r="CA6" s="10">
        <v>4910.91</v>
      </c>
    </row>
    <row r="7" spans="1:79" x14ac:dyDescent="0.3">
      <c r="A7" s="12" t="s">
        <v>201</v>
      </c>
      <c r="B7" s="10">
        <v>20273.57</v>
      </c>
      <c r="C7" s="10">
        <v>8876.73</v>
      </c>
      <c r="D7" s="10">
        <v>10479.780000000001</v>
      </c>
      <c r="E7" s="10">
        <v>2480.7199999999998</v>
      </c>
      <c r="F7" s="10">
        <v>4080.72</v>
      </c>
      <c r="G7" s="10">
        <v>5681.22</v>
      </c>
      <c r="H7" s="10">
        <v>7682.71</v>
      </c>
      <c r="I7" s="10">
        <v>9284.01</v>
      </c>
      <c r="J7" s="10">
        <v>10885.3</v>
      </c>
      <c r="K7" s="10">
        <v>12886.81</v>
      </c>
      <c r="L7" s="10">
        <v>14488.44</v>
      </c>
      <c r="M7" s="10">
        <v>16490.46</v>
      </c>
      <c r="N7" s="10">
        <v>18092.64</v>
      </c>
      <c r="O7" s="10">
        <v>19694.810000000001</v>
      </c>
      <c r="P7" s="10">
        <v>121697.51</v>
      </c>
      <c r="Q7" s="10">
        <v>140301.37</v>
      </c>
      <c r="R7" s="10">
        <v>166906.66</v>
      </c>
      <c r="S7" s="10">
        <v>17260.939999999999</v>
      </c>
      <c r="T7" s="10">
        <v>38862.519999999997</v>
      </c>
      <c r="U7" s="10">
        <v>1934.66</v>
      </c>
      <c r="V7" s="10">
        <v>20335.330000000002</v>
      </c>
      <c r="W7" s="10">
        <v>24736.240000000002</v>
      </c>
      <c r="X7" s="10">
        <v>14137.31</v>
      </c>
      <c r="Y7" s="10">
        <v>19638.03</v>
      </c>
      <c r="Z7" s="10">
        <v>34039.230000000003</v>
      </c>
      <c r="AA7" s="10">
        <v>3439.9</v>
      </c>
      <c r="AB7" s="10">
        <v>33146.839999999997</v>
      </c>
      <c r="AC7" s="10">
        <v>37548.28</v>
      </c>
      <c r="AD7" s="10">
        <v>41949.98</v>
      </c>
      <c r="AE7" s="10">
        <v>47451.81</v>
      </c>
      <c r="AF7" s="10">
        <v>18852.849999999999</v>
      </c>
      <c r="AG7" s="10">
        <v>24353.78</v>
      </c>
      <c r="AH7" s="10">
        <v>28754.86</v>
      </c>
      <c r="AI7" s="10">
        <v>33155.360000000001</v>
      </c>
      <c r="AJ7" s="10">
        <v>38655.67</v>
      </c>
      <c r="AK7" s="10">
        <v>43056.01</v>
      </c>
      <c r="AL7" s="10">
        <v>47456.4</v>
      </c>
      <c r="AM7" s="10">
        <v>8856.5400000000009</v>
      </c>
      <c r="AN7" s="10">
        <v>14356.64</v>
      </c>
      <c r="AO7" s="10">
        <v>18756.77</v>
      </c>
      <c r="AP7" s="10">
        <v>24256.95</v>
      </c>
      <c r="AQ7" s="10">
        <v>28657.58</v>
      </c>
      <c r="AR7" s="10">
        <v>53063.11</v>
      </c>
      <c r="AS7" s="10">
        <v>35170.589999999997</v>
      </c>
      <c r="AT7" s="10">
        <v>47182.26</v>
      </c>
      <c r="AU7" s="10">
        <v>59210.78</v>
      </c>
      <c r="AV7" s="10">
        <v>74257.39</v>
      </c>
      <c r="AW7" s="10">
        <v>56297.31</v>
      </c>
      <c r="AX7" s="10">
        <v>71349.67</v>
      </c>
      <c r="AY7" s="10">
        <v>3396.58</v>
      </c>
      <c r="AZ7" s="10">
        <v>15404.59</v>
      </c>
      <c r="BA7" s="10">
        <v>27424.09</v>
      </c>
      <c r="BB7" s="10">
        <v>21442.99</v>
      </c>
      <c r="BC7" s="10">
        <v>33472.78</v>
      </c>
      <c r="BD7" s="10">
        <v>45518.48</v>
      </c>
      <c r="BE7" s="10">
        <v>60579.55</v>
      </c>
      <c r="BF7" s="10">
        <v>36615.050000000003</v>
      </c>
      <c r="BG7" s="10">
        <v>64674.42</v>
      </c>
      <c r="BH7" s="10">
        <v>28721.56</v>
      </c>
      <c r="BI7" s="10">
        <v>48257.24</v>
      </c>
      <c r="BJ7" s="10">
        <v>98337.26</v>
      </c>
      <c r="BK7" s="10">
        <v>41884.550000000003</v>
      </c>
      <c r="BL7" s="10">
        <v>66938.600000000006</v>
      </c>
      <c r="BM7" s="10">
        <v>98029.52</v>
      </c>
      <c r="BN7" s="10">
        <v>43292.3</v>
      </c>
      <c r="BO7" s="10">
        <v>66154.570000000007</v>
      </c>
      <c r="BP7" s="10">
        <v>58538.34</v>
      </c>
      <c r="BQ7" s="10">
        <v>85607.98</v>
      </c>
      <c r="BR7" s="10">
        <v>116739.63</v>
      </c>
      <c r="BS7" s="10">
        <v>65834.28</v>
      </c>
      <c r="BT7" s="10">
        <v>84908.6</v>
      </c>
      <c r="BU7" s="10">
        <v>33973.26</v>
      </c>
      <c r="BV7" s="10">
        <v>74023.460000000006</v>
      </c>
      <c r="BW7" s="10">
        <v>114105.77</v>
      </c>
      <c r="BX7" s="10">
        <v>154238.01</v>
      </c>
      <c r="BY7" s="10">
        <v>120818.19</v>
      </c>
      <c r="BZ7" s="10">
        <v>154875.15</v>
      </c>
      <c r="CA7" s="10">
        <v>174138.92</v>
      </c>
    </row>
    <row r="8" spans="1:79" x14ac:dyDescent="0.3">
      <c r="A8" s="12" t="s">
        <v>2</v>
      </c>
      <c r="B8" s="10">
        <v>86589.54</v>
      </c>
      <c r="C8" s="10">
        <v>84985.46</v>
      </c>
      <c r="D8" s="10">
        <v>98404.84</v>
      </c>
      <c r="E8" s="10">
        <v>89988.72</v>
      </c>
      <c r="F8" s="10">
        <v>84763.42</v>
      </c>
      <c r="G8" s="10">
        <v>44742.94</v>
      </c>
      <c r="H8" s="10">
        <v>48212.49</v>
      </c>
      <c r="I8" s="10">
        <v>78725.31</v>
      </c>
      <c r="J8" s="10">
        <v>54831.57</v>
      </c>
      <c r="K8" s="10">
        <v>88272.19</v>
      </c>
      <c r="L8" s="10">
        <v>94241.24</v>
      </c>
      <c r="M8" s="10">
        <v>123463.73</v>
      </c>
      <c r="N8" s="10">
        <v>85143.39</v>
      </c>
      <c r="O8" s="10">
        <v>65652.78</v>
      </c>
      <c r="P8" s="10">
        <v>139769.15</v>
      </c>
      <c r="Q8" s="10">
        <v>85776.94</v>
      </c>
      <c r="R8" s="10">
        <v>104868.07</v>
      </c>
      <c r="S8" s="10">
        <v>139426.75</v>
      </c>
      <c r="T8" s="10">
        <v>97559.37</v>
      </c>
      <c r="U8" s="10">
        <v>140126.76</v>
      </c>
      <c r="V8" s="10">
        <v>142304.10999999999</v>
      </c>
      <c r="W8" s="10">
        <v>156754.07999999999</v>
      </c>
      <c r="X8" s="10">
        <v>137772.13</v>
      </c>
      <c r="Y8" s="10">
        <v>154496.1</v>
      </c>
      <c r="Z8" s="10">
        <v>104410.94</v>
      </c>
      <c r="AA8" s="10">
        <v>96860.32</v>
      </c>
      <c r="AB8" s="10">
        <v>79767.89</v>
      </c>
      <c r="AC8" s="10">
        <v>34933.58</v>
      </c>
      <c r="AD8" s="10">
        <v>15475.66</v>
      </c>
      <c r="AE8" s="10">
        <v>57319.31</v>
      </c>
      <c r="AF8" s="10">
        <v>76713.87</v>
      </c>
      <c r="AG8" s="10">
        <v>38668.449999999997</v>
      </c>
      <c r="AH8" s="10">
        <v>56979.37</v>
      </c>
      <c r="AI8" s="10">
        <v>77122.5</v>
      </c>
      <c r="AJ8" s="10">
        <v>102448.99</v>
      </c>
      <c r="AK8" s="10">
        <v>121056.72</v>
      </c>
      <c r="AL8" s="10">
        <v>105927.13</v>
      </c>
      <c r="AM8" s="10">
        <v>90502.66</v>
      </c>
      <c r="AN8" s="10">
        <v>72312.12</v>
      </c>
      <c r="AO8" s="10">
        <v>111813.53</v>
      </c>
      <c r="AP8" s="10">
        <v>144926.74</v>
      </c>
      <c r="AQ8" s="10">
        <v>208328.01</v>
      </c>
      <c r="AR8" s="10">
        <v>179444.98</v>
      </c>
      <c r="AS8" s="10">
        <v>176775.31</v>
      </c>
      <c r="AT8" s="10">
        <v>155379.92000000001</v>
      </c>
      <c r="AU8" s="10">
        <v>76879.360000000001</v>
      </c>
      <c r="AV8" s="10">
        <v>124120.05</v>
      </c>
      <c r="AW8" s="10">
        <v>104020.69</v>
      </c>
      <c r="AX8" s="10">
        <v>59970.16</v>
      </c>
      <c r="AY8" s="10">
        <v>73348.800000000003</v>
      </c>
      <c r="AZ8" s="10">
        <v>76935.08</v>
      </c>
      <c r="BA8" s="10">
        <v>63969.35</v>
      </c>
      <c r="BB8" s="10">
        <v>70077.97</v>
      </c>
      <c r="BC8" s="10">
        <v>143473.51999999999</v>
      </c>
      <c r="BD8" s="10">
        <v>243783.77</v>
      </c>
      <c r="BE8" s="10">
        <v>146669.39000000001</v>
      </c>
      <c r="BF8" s="10">
        <v>200544.39</v>
      </c>
      <c r="BG8" s="10">
        <v>75543.66</v>
      </c>
      <c r="BH8" s="10">
        <v>18981.259999999998</v>
      </c>
      <c r="BI8" s="10">
        <v>148727.96</v>
      </c>
      <c r="BJ8" s="10">
        <v>96174.92</v>
      </c>
      <c r="BK8" s="10">
        <v>31776.71</v>
      </c>
      <c r="BL8" s="10">
        <v>41715.24</v>
      </c>
      <c r="BM8" s="10">
        <v>28579.24</v>
      </c>
      <c r="BN8" s="10">
        <v>97699.86</v>
      </c>
      <c r="BO8" s="10">
        <v>19506.3</v>
      </c>
      <c r="BP8" s="10">
        <v>24847.4</v>
      </c>
      <c r="BQ8" s="10">
        <v>53182.38</v>
      </c>
      <c r="BR8" s="10">
        <v>32364.560000000001</v>
      </c>
      <c r="BS8" s="10">
        <v>56488.25</v>
      </c>
      <c r="BT8" s="10">
        <v>24790.77</v>
      </c>
      <c r="BU8" s="10">
        <v>133117.31</v>
      </c>
      <c r="BV8" s="10">
        <v>120819.49</v>
      </c>
      <c r="BW8" s="10">
        <v>112157.61</v>
      </c>
      <c r="BX8" s="10">
        <v>41702.61</v>
      </c>
      <c r="BY8" s="10">
        <v>75181.61</v>
      </c>
      <c r="BZ8" s="10">
        <v>30264.95</v>
      </c>
      <c r="CA8" s="10">
        <v>23535.06</v>
      </c>
    </row>
    <row r="9" spans="1:79" x14ac:dyDescent="0.3">
      <c r="A9" s="12" t="s">
        <v>202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-169</v>
      </c>
      <c r="K9" s="10">
        <v>-169</v>
      </c>
      <c r="L9" s="10">
        <v>-169</v>
      </c>
      <c r="M9" s="10">
        <v>-169</v>
      </c>
      <c r="N9" s="10">
        <v>-169</v>
      </c>
      <c r="O9" s="10">
        <v>-169</v>
      </c>
      <c r="P9" s="10">
        <v>-169</v>
      </c>
      <c r="Q9" s="10">
        <v>-169</v>
      </c>
      <c r="R9" s="10">
        <v>-169</v>
      </c>
      <c r="S9" s="10">
        <v>-169</v>
      </c>
      <c r="T9" s="10">
        <v>-169</v>
      </c>
      <c r="U9" s="10">
        <v>-169</v>
      </c>
      <c r="V9" s="10">
        <v>-169</v>
      </c>
      <c r="W9" s="10">
        <v>-169</v>
      </c>
      <c r="X9" s="10">
        <v>-169</v>
      </c>
      <c r="Y9" s="10">
        <v>-169</v>
      </c>
      <c r="Z9" s="10">
        <v>-169</v>
      </c>
      <c r="AA9" s="10">
        <v>-169</v>
      </c>
      <c r="AB9" s="10">
        <v>-169</v>
      </c>
      <c r="AC9" s="10">
        <v>-169</v>
      </c>
      <c r="AD9" s="10">
        <v>-169</v>
      </c>
      <c r="AE9" s="10">
        <v>-169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</row>
    <row r="10" spans="1:79" x14ac:dyDescent="0.3">
      <c r="A10" s="12" t="s">
        <v>203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-1223.69</v>
      </c>
      <c r="J10" s="10">
        <v>-2625.09</v>
      </c>
      <c r="K10" s="10">
        <v>8006.4</v>
      </c>
      <c r="L10" s="10">
        <v>1114.31</v>
      </c>
      <c r="M10" s="10">
        <v>-1441.08</v>
      </c>
      <c r="N10" s="10">
        <v>-1024.1099999999999</v>
      </c>
      <c r="O10" s="10">
        <v>-343.16</v>
      </c>
      <c r="P10" s="10">
        <v>-1953.61</v>
      </c>
      <c r="Q10" s="10">
        <v>-1383.31</v>
      </c>
      <c r="R10" s="10">
        <v>-1153.8699999999999</v>
      </c>
      <c r="S10" s="10">
        <v>-342.91</v>
      </c>
      <c r="T10" s="10">
        <v>1916.57</v>
      </c>
      <c r="U10" s="10">
        <v>296.27</v>
      </c>
      <c r="V10" s="10">
        <v>3802.37</v>
      </c>
      <c r="W10" s="10">
        <v>-289.45</v>
      </c>
      <c r="X10" s="10">
        <v>-1003.01</v>
      </c>
      <c r="Y10" s="10">
        <v>2306.9499999999998</v>
      </c>
      <c r="Z10" s="10">
        <v>948.83</v>
      </c>
      <c r="AA10" s="10">
        <v>-68.239999999999995</v>
      </c>
      <c r="AB10" s="10">
        <v>884.23</v>
      </c>
      <c r="AC10" s="10">
        <v>6438.92</v>
      </c>
      <c r="AD10" s="10">
        <v>-533.61</v>
      </c>
      <c r="AE10" s="10">
        <v>20547.75</v>
      </c>
      <c r="AF10" s="10">
        <v>1590.07</v>
      </c>
      <c r="AG10" s="10">
        <v>26410.13</v>
      </c>
      <c r="AH10" s="10">
        <v>-1580.78</v>
      </c>
      <c r="AI10" s="10">
        <v>15106.73</v>
      </c>
      <c r="AJ10" s="10">
        <v>11822.63</v>
      </c>
      <c r="AK10" s="10">
        <v>-2101.06</v>
      </c>
      <c r="AL10" s="10">
        <v>-516.61</v>
      </c>
      <c r="AM10" s="10">
        <v>-2178.02</v>
      </c>
      <c r="AN10" s="10">
        <v>15137.31</v>
      </c>
      <c r="AO10" s="10">
        <v>4552.28</v>
      </c>
      <c r="AP10" s="10">
        <v>390.67</v>
      </c>
      <c r="AQ10" s="10">
        <v>7816.4</v>
      </c>
      <c r="AR10" s="10">
        <v>-2112.36</v>
      </c>
      <c r="AS10" s="10">
        <v>1989.94</v>
      </c>
      <c r="AT10" s="10">
        <v>697.36</v>
      </c>
      <c r="AU10" s="10">
        <v>2004.24</v>
      </c>
      <c r="AV10" s="10">
        <v>-1723.68</v>
      </c>
      <c r="AW10" s="10">
        <v>1004.46</v>
      </c>
      <c r="AX10" s="10">
        <v>647.02</v>
      </c>
      <c r="AY10" s="10">
        <v>7288.47</v>
      </c>
      <c r="AZ10" s="10">
        <v>7707.88</v>
      </c>
      <c r="BA10" s="10">
        <v>3956.79</v>
      </c>
      <c r="BB10" s="10">
        <v>5552.01</v>
      </c>
      <c r="BC10" s="10">
        <v>-2013.25</v>
      </c>
      <c r="BD10" s="10">
        <v>5885.21</v>
      </c>
      <c r="BE10" s="10">
        <v>4044.44</v>
      </c>
      <c r="BF10" s="10">
        <v>1223.27</v>
      </c>
      <c r="BG10" s="10">
        <v>-514.02</v>
      </c>
      <c r="BH10" s="10">
        <v>-2469.4</v>
      </c>
      <c r="BI10" s="10">
        <v>-2517.33</v>
      </c>
      <c r="BJ10" s="10">
        <v>1957.88</v>
      </c>
      <c r="BK10" s="10">
        <v>-1529.84</v>
      </c>
      <c r="BL10" s="10">
        <v>-475.9</v>
      </c>
      <c r="BM10" s="10">
        <v>-1760.99</v>
      </c>
      <c r="BN10" s="10">
        <v>-25.4</v>
      </c>
      <c r="BO10" s="10">
        <v>-1151.1400000000001</v>
      </c>
      <c r="BP10" s="10">
        <v>329.7</v>
      </c>
      <c r="BQ10" s="10">
        <v>5000.8100000000004</v>
      </c>
      <c r="BR10" s="10">
        <v>-35.340000000000003</v>
      </c>
      <c r="BS10" s="10">
        <v>-241.81</v>
      </c>
      <c r="BT10" s="10">
        <v>-7.01</v>
      </c>
      <c r="BU10" s="10">
        <v>823.21</v>
      </c>
      <c r="BV10" s="10">
        <v>2738.44</v>
      </c>
      <c r="BW10" s="10">
        <v>-654.29999999999995</v>
      </c>
      <c r="BX10" s="10">
        <v>-978.35</v>
      </c>
      <c r="BY10" s="10">
        <v>780.9</v>
      </c>
      <c r="BZ10" s="10">
        <v>3188.82</v>
      </c>
      <c r="CA10" s="10">
        <v>512.16999999999996</v>
      </c>
    </row>
    <row r="11" spans="1:79" x14ac:dyDescent="0.3">
      <c r="A11" s="12" t="s">
        <v>204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55650</v>
      </c>
      <c r="AY11" s="10">
        <v>79192.59</v>
      </c>
      <c r="AZ11" s="10">
        <v>75924.41</v>
      </c>
      <c r="BA11" s="10">
        <v>88284.06</v>
      </c>
      <c r="BB11" s="10">
        <v>113059.73</v>
      </c>
      <c r="BC11" s="10">
        <v>96077.96</v>
      </c>
      <c r="BD11" s="10">
        <v>177739.24</v>
      </c>
      <c r="BE11" s="10">
        <v>137464.39000000001</v>
      </c>
      <c r="BF11" s="10">
        <v>65554.58</v>
      </c>
      <c r="BG11" s="10">
        <v>58054.78</v>
      </c>
      <c r="BH11" s="10">
        <v>52887.49</v>
      </c>
      <c r="BI11" s="10">
        <v>11225.64</v>
      </c>
      <c r="BJ11" s="10">
        <v>8717.7999999999993</v>
      </c>
      <c r="BK11" s="10">
        <v>1028.8499999999999</v>
      </c>
      <c r="BL11" s="10">
        <v>5613.85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</row>
    <row r="12" spans="1:79" x14ac:dyDescent="0.3">
      <c r="A12" s="12" t="s">
        <v>205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12</v>
      </c>
      <c r="BP12" s="10">
        <v>12</v>
      </c>
      <c r="BQ12" s="10">
        <v>12</v>
      </c>
      <c r="BR12" s="10">
        <v>12</v>
      </c>
      <c r="BS12" s="10">
        <v>12</v>
      </c>
      <c r="BT12" s="10">
        <v>12</v>
      </c>
      <c r="BU12" s="10">
        <v>12</v>
      </c>
      <c r="BV12" s="10">
        <v>12</v>
      </c>
      <c r="BW12" s="10">
        <v>12</v>
      </c>
      <c r="BX12" s="10">
        <v>12</v>
      </c>
      <c r="BY12" s="10">
        <v>12</v>
      </c>
      <c r="BZ12" s="10">
        <v>12</v>
      </c>
      <c r="CA12" s="10">
        <v>12</v>
      </c>
    </row>
    <row r="13" spans="1:79" x14ac:dyDescent="0.3">
      <c r="A13" s="5" t="s">
        <v>206</v>
      </c>
      <c r="B13" s="6">
        <f t="shared" ref="B13:BM13" si="0">SUM(B6:B12)</f>
        <v>177414.33000000002</v>
      </c>
      <c r="C13" s="6">
        <f t="shared" si="0"/>
        <v>164835.10999999999</v>
      </c>
      <c r="D13" s="6">
        <f t="shared" si="0"/>
        <v>180280.15</v>
      </c>
      <c r="E13" s="6">
        <f t="shared" si="0"/>
        <v>194291.39</v>
      </c>
      <c r="F13" s="6">
        <f t="shared" si="0"/>
        <v>191200.77000000002</v>
      </c>
      <c r="G13" s="6">
        <f t="shared" si="0"/>
        <v>153210.57</v>
      </c>
      <c r="H13" s="6">
        <f t="shared" si="0"/>
        <v>117197.98999999999</v>
      </c>
      <c r="I13" s="6">
        <f t="shared" si="0"/>
        <v>148498.01</v>
      </c>
      <c r="J13" s="6">
        <f t="shared" si="0"/>
        <v>125043.04999999999</v>
      </c>
      <c r="K13" s="6">
        <f t="shared" si="0"/>
        <v>213627.37</v>
      </c>
      <c r="L13" s="6">
        <f t="shared" si="0"/>
        <v>214718.45</v>
      </c>
      <c r="M13" s="6">
        <f t="shared" si="0"/>
        <v>243801.42</v>
      </c>
      <c r="N13" s="6">
        <f t="shared" si="0"/>
        <v>208013.66000000003</v>
      </c>
      <c r="O13" s="6">
        <f t="shared" si="0"/>
        <v>191218.35</v>
      </c>
      <c r="P13" s="6">
        <f t="shared" si="0"/>
        <v>266135.62</v>
      </c>
      <c r="Q13" s="6">
        <f t="shared" si="0"/>
        <v>231818.44</v>
      </c>
      <c r="R13" s="6">
        <f t="shared" si="0"/>
        <v>278145.18000000005</v>
      </c>
      <c r="S13" s="6">
        <f t="shared" si="0"/>
        <v>264271.09000000003</v>
      </c>
      <c r="T13" s="6">
        <f t="shared" si="0"/>
        <v>266770.18</v>
      </c>
      <c r="U13" s="6">
        <f t="shared" si="0"/>
        <v>191192.9</v>
      </c>
      <c r="V13" s="6">
        <f t="shared" si="0"/>
        <v>230779.58999999997</v>
      </c>
      <c r="W13" s="6">
        <f t="shared" si="0"/>
        <v>245941.3</v>
      </c>
      <c r="X13" s="6">
        <f t="shared" si="0"/>
        <v>216049.62</v>
      </c>
      <c r="Y13" s="6">
        <f t="shared" si="0"/>
        <v>242087.04000000004</v>
      </c>
      <c r="Z13" s="6">
        <f t="shared" si="0"/>
        <v>245448.94999999998</v>
      </c>
      <c r="AA13" s="6">
        <f t="shared" si="0"/>
        <v>206686.01</v>
      </c>
      <c r="AB13" s="6">
        <f t="shared" si="0"/>
        <v>220757.82000000004</v>
      </c>
      <c r="AC13" s="6">
        <f t="shared" si="0"/>
        <v>186284.05000000002</v>
      </c>
      <c r="AD13" s="6">
        <f t="shared" si="0"/>
        <v>164659.88000000003</v>
      </c>
      <c r="AE13" s="6">
        <f t="shared" si="0"/>
        <v>233591.15999999997</v>
      </c>
      <c r="AF13" s="6">
        <f t="shared" si="0"/>
        <v>206002.55</v>
      </c>
      <c r="AG13" s="6">
        <f t="shared" si="0"/>
        <v>198682.90000000002</v>
      </c>
      <c r="AH13" s="6">
        <f t="shared" si="0"/>
        <v>143906.57</v>
      </c>
      <c r="AI13" s="6">
        <f t="shared" si="0"/>
        <v>185538.71000000002</v>
      </c>
      <c r="AJ13" s="6">
        <f t="shared" si="0"/>
        <v>213481.94</v>
      </c>
      <c r="AK13" s="6">
        <f t="shared" si="0"/>
        <v>223066.83000000002</v>
      </c>
      <c r="AL13" s="6">
        <f t="shared" si="0"/>
        <v>214322.60000000003</v>
      </c>
      <c r="AM13" s="6">
        <f t="shared" si="0"/>
        <v>159037.34000000003</v>
      </c>
      <c r="AN13" s="6">
        <f t="shared" si="0"/>
        <v>164162.76</v>
      </c>
      <c r="AO13" s="6">
        <f t="shared" si="0"/>
        <v>197879.75999999998</v>
      </c>
      <c r="AP13" s="6">
        <f t="shared" si="0"/>
        <v>232732.09</v>
      </c>
      <c r="AQ13" s="6">
        <f t="shared" si="0"/>
        <v>308461.19000000006</v>
      </c>
      <c r="AR13" s="6">
        <f t="shared" si="0"/>
        <v>294462.45</v>
      </c>
      <c r="AS13" s="6">
        <f t="shared" si="0"/>
        <v>278517.36</v>
      </c>
      <c r="AT13" s="6">
        <f t="shared" si="0"/>
        <v>318267.36</v>
      </c>
      <c r="AU13" s="6">
        <f t="shared" si="0"/>
        <v>253563.27999999997</v>
      </c>
      <c r="AV13" s="6">
        <f t="shared" si="0"/>
        <v>312703.49</v>
      </c>
      <c r="AW13" s="6">
        <f t="shared" si="0"/>
        <v>227831.06999999998</v>
      </c>
      <c r="AX13" s="6">
        <f t="shared" si="0"/>
        <v>204556.29</v>
      </c>
      <c r="AY13" s="6">
        <f t="shared" si="0"/>
        <v>180578.4</v>
      </c>
      <c r="AZ13" s="6">
        <f t="shared" si="0"/>
        <v>193841.51</v>
      </c>
      <c r="BA13" s="6">
        <f t="shared" si="0"/>
        <v>201920.45999999996</v>
      </c>
      <c r="BB13" s="6">
        <f t="shared" si="0"/>
        <v>228939.32</v>
      </c>
      <c r="BC13" s="6">
        <f t="shared" si="0"/>
        <v>283178.28000000003</v>
      </c>
      <c r="BD13" s="6">
        <f t="shared" si="0"/>
        <v>485508.15</v>
      </c>
      <c r="BE13" s="6">
        <f t="shared" si="0"/>
        <v>360322.24000000005</v>
      </c>
      <c r="BF13" s="6">
        <f t="shared" si="0"/>
        <v>315914.34999999998</v>
      </c>
      <c r="BG13" s="6">
        <f t="shared" si="0"/>
        <v>210150.11000000002</v>
      </c>
      <c r="BH13" s="6">
        <f t="shared" si="0"/>
        <v>99021.23</v>
      </c>
      <c r="BI13" s="6">
        <f t="shared" si="0"/>
        <v>206993.83000000002</v>
      </c>
      <c r="BJ13" s="6">
        <f t="shared" si="0"/>
        <v>206988.18</v>
      </c>
      <c r="BK13" s="6">
        <f t="shared" si="0"/>
        <v>75360.590000000011</v>
      </c>
      <c r="BL13" s="6">
        <f t="shared" si="0"/>
        <v>116392.11000000002</v>
      </c>
      <c r="BM13" s="6">
        <f t="shared" si="0"/>
        <v>127848.09000000001</v>
      </c>
      <c r="BN13" s="6">
        <f t="shared" ref="BN13:CA13" si="1">SUM(BN6:BN12)</f>
        <v>144467.08000000002</v>
      </c>
      <c r="BO13" s="6">
        <f t="shared" si="1"/>
        <v>88422.050000000017</v>
      </c>
      <c r="BP13" s="6">
        <f t="shared" si="1"/>
        <v>87127.76</v>
      </c>
      <c r="BQ13" s="6">
        <f t="shared" si="1"/>
        <v>147603.49</v>
      </c>
      <c r="BR13" s="6">
        <f t="shared" si="1"/>
        <v>153281.17000000001</v>
      </c>
      <c r="BS13" s="6">
        <f t="shared" si="1"/>
        <v>126693.04000000001</v>
      </c>
      <c r="BT13" s="6">
        <f t="shared" si="1"/>
        <v>114704.99000000002</v>
      </c>
      <c r="BU13" s="6">
        <f t="shared" si="1"/>
        <v>170167.3</v>
      </c>
      <c r="BV13" s="6">
        <f t="shared" si="1"/>
        <v>199134.91000000003</v>
      </c>
      <c r="BW13" s="6">
        <f t="shared" si="1"/>
        <v>227562.60000000003</v>
      </c>
      <c r="BX13" s="6">
        <f t="shared" si="1"/>
        <v>197315.79</v>
      </c>
      <c r="BY13" s="6">
        <f t="shared" si="1"/>
        <v>199634.22</v>
      </c>
      <c r="BZ13" s="6">
        <f t="shared" si="1"/>
        <v>197583.17</v>
      </c>
      <c r="CA13" s="6">
        <f t="shared" si="1"/>
        <v>203109.06000000003</v>
      </c>
    </row>
    <row r="14" spans="1:79" x14ac:dyDescent="0.3">
      <c r="A14" s="5" t="s">
        <v>207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</row>
    <row r="15" spans="1:79" x14ac:dyDescent="0.3">
      <c r="A15" s="12" t="s">
        <v>207</v>
      </c>
      <c r="B15" s="10">
        <v>110942.35</v>
      </c>
      <c r="C15" s="10">
        <v>113204.2</v>
      </c>
      <c r="D15" s="10">
        <v>96433.02</v>
      </c>
      <c r="E15" s="10">
        <v>84363.38</v>
      </c>
      <c r="F15" s="10">
        <v>86812.46</v>
      </c>
      <c r="G15" s="10">
        <v>109702.38</v>
      </c>
      <c r="H15" s="10">
        <v>151253.66</v>
      </c>
      <c r="I15" s="10">
        <v>193218.25</v>
      </c>
      <c r="J15" s="10">
        <v>181931.4</v>
      </c>
      <c r="K15" s="10">
        <v>125992.69</v>
      </c>
      <c r="L15" s="10">
        <v>162512.85999999999</v>
      </c>
      <c r="M15" s="10">
        <v>134099.34</v>
      </c>
      <c r="N15" s="10">
        <v>135820.09</v>
      </c>
      <c r="O15" s="10">
        <v>189049.86</v>
      </c>
      <c r="P15" s="10">
        <v>167199.66</v>
      </c>
      <c r="Q15" s="10">
        <v>147109.68</v>
      </c>
      <c r="R15" s="10">
        <v>146349.03</v>
      </c>
      <c r="S15" s="10">
        <v>109662.14</v>
      </c>
      <c r="T15" s="10">
        <v>105991.62</v>
      </c>
      <c r="U15" s="10">
        <v>137814.43</v>
      </c>
      <c r="V15" s="10">
        <v>101411.32</v>
      </c>
      <c r="W15" s="10">
        <v>85001.47</v>
      </c>
      <c r="X15" s="10">
        <v>90382.25</v>
      </c>
      <c r="Y15" s="10">
        <v>149860.04999999999</v>
      </c>
      <c r="Z15" s="10">
        <v>115781.35</v>
      </c>
      <c r="AA15" s="10">
        <v>121902.73</v>
      </c>
      <c r="AB15" s="10">
        <v>178593</v>
      </c>
      <c r="AC15" s="10">
        <v>194438.21</v>
      </c>
      <c r="AD15" s="10">
        <v>237139.81</v>
      </c>
      <c r="AE15" s="10">
        <v>224316.12</v>
      </c>
      <c r="AF15" s="10">
        <v>217883.25</v>
      </c>
      <c r="AG15" s="10">
        <v>260572.22</v>
      </c>
      <c r="AH15" s="10">
        <v>267931.52000000002</v>
      </c>
      <c r="AI15" s="10">
        <v>211476.93</v>
      </c>
      <c r="AJ15" s="10">
        <v>228561.63</v>
      </c>
      <c r="AK15" s="10">
        <v>288034.83</v>
      </c>
      <c r="AL15" s="10">
        <v>310610.93</v>
      </c>
      <c r="AM15" s="10">
        <v>332827.33</v>
      </c>
      <c r="AN15" s="10">
        <v>314074.46999999997</v>
      </c>
      <c r="AO15" s="10">
        <v>289699.05</v>
      </c>
      <c r="AP15" s="10">
        <v>377963.23</v>
      </c>
      <c r="AQ15" s="10">
        <v>290524.42</v>
      </c>
      <c r="AR15" s="10">
        <v>292711.84999999998</v>
      </c>
      <c r="AS15" s="10">
        <v>338597.98</v>
      </c>
      <c r="AT15" s="10">
        <v>323452.31</v>
      </c>
      <c r="AU15" s="10">
        <v>354984.34</v>
      </c>
      <c r="AV15" s="10">
        <v>363220.57</v>
      </c>
      <c r="AW15" s="10">
        <v>383191.74</v>
      </c>
      <c r="AX15" s="10">
        <v>469674.66</v>
      </c>
      <c r="AY15" s="10">
        <v>461038.06</v>
      </c>
      <c r="AZ15" s="10">
        <v>435275.48</v>
      </c>
      <c r="BA15" s="10">
        <v>636823.56999999995</v>
      </c>
      <c r="BB15" s="10">
        <v>495801.37</v>
      </c>
      <c r="BC15" s="10">
        <v>530396.24</v>
      </c>
      <c r="BD15" s="10">
        <v>367496.28</v>
      </c>
      <c r="BE15" s="10">
        <v>427355.13</v>
      </c>
      <c r="BF15" s="10">
        <v>383874.28</v>
      </c>
      <c r="BG15" s="10">
        <v>394078.78</v>
      </c>
      <c r="BH15" s="10">
        <v>443807.49</v>
      </c>
      <c r="BI15" s="10">
        <v>293960.82</v>
      </c>
      <c r="BJ15" s="10">
        <v>203697.93</v>
      </c>
      <c r="BK15" s="10">
        <v>276688.62</v>
      </c>
      <c r="BL15" s="10">
        <v>267489.51</v>
      </c>
      <c r="BM15" s="10">
        <v>219772.91</v>
      </c>
      <c r="BN15" s="10">
        <v>200395.12</v>
      </c>
      <c r="BO15" s="10">
        <v>260521.65</v>
      </c>
      <c r="BP15" s="10">
        <v>211245.47</v>
      </c>
      <c r="BQ15" s="10">
        <v>192645.23</v>
      </c>
      <c r="BR15" s="10">
        <v>212732.75</v>
      </c>
      <c r="BS15" s="10">
        <v>299078.82</v>
      </c>
      <c r="BT15" s="10">
        <v>313199.12</v>
      </c>
      <c r="BU15" s="10">
        <v>248273.72</v>
      </c>
      <c r="BV15" s="10">
        <v>247798.77</v>
      </c>
      <c r="BW15" s="10">
        <v>215212.38</v>
      </c>
      <c r="BX15" s="10">
        <v>300282.02</v>
      </c>
      <c r="BY15" s="10">
        <v>269078.64</v>
      </c>
      <c r="BZ15" s="10">
        <v>305931.68</v>
      </c>
      <c r="CA15" s="10">
        <v>336398.12</v>
      </c>
    </row>
    <row r="16" spans="1:79" x14ac:dyDescent="0.3">
      <c r="A16" s="5" t="s">
        <v>208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</row>
    <row r="17" spans="1:79" x14ac:dyDescent="0.3">
      <c r="A17" s="7" t="s">
        <v>209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</row>
    <row r="18" spans="1:79" x14ac:dyDescent="0.3">
      <c r="A18" s="9" t="s">
        <v>209</v>
      </c>
      <c r="B18" s="10">
        <v>0</v>
      </c>
      <c r="C18" s="10">
        <v>0</v>
      </c>
      <c r="D18" s="10">
        <v>-910.25</v>
      </c>
      <c r="E18" s="10">
        <v>-2334.11</v>
      </c>
      <c r="F18" s="10">
        <v>-2334.11</v>
      </c>
      <c r="G18" s="10">
        <v>-2334.11</v>
      </c>
      <c r="H18" s="10">
        <v>-2334.11</v>
      </c>
      <c r="I18" s="10">
        <v>-2334.11</v>
      </c>
      <c r="J18" s="10">
        <v>-2334.11</v>
      </c>
      <c r="K18" s="10">
        <v>-2334.11</v>
      </c>
      <c r="L18" s="10">
        <v>-2334.11</v>
      </c>
      <c r="M18" s="10">
        <v>-2334.11</v>
      </c>
      <c r="N18" s="10">
        <v>-2334.11</v>
      </c>
      <c r="O18" s="10">
        <v>-2334.11</v>
      </c>
      <c r="P18" s="10">
        <v>-2334.11</v>
      </c>
      <c r="Q18" s="10">
        <v>-2334.11</v>
      </c>
      <c r="R18" s="10">
        <v>-2334.11</v>
      </c>
      <c r="S18" s="10">
        <v>-2334.11</v>
      </c>
      <c r="T18" s="10">
        <v>-2334.11</v>
      </c>
      <c r="U18" s="10">
        <v>-2334.11</v>
      </c>
      <c r="V18" s="10">
        <v>-2334.11</v>
      </c>
      <c r="W18" s="10">
        <v>-2334.11</v>
      </c>
      <c r="X18" s="10">
        <v>-2334.11</v>
      </c>
      <c r="Y18" s="10">
        <v>-2334.11</v>
      </c>
      <c r="Z18" s="10">
        <v>-2334.11</v>
      </c>
      <c r="AA18" s="10">
        <v>-2334.11</v>
      </c>
      <c r="AB18" s="10">
        <v>-2334.11</v>
      </c>
      <c r="AC18" s="10">
        <v>-2334.11</v>
      </c>
      <c r="AD18" s="10">
        <v>-2334.11</v>
      </c>
      <c r="AE18" s="10">
        <v>2843.16</v>
      </c>
      <c r="AF18" s="10">
        <v>4746.51</v>
      </c>
      <c r="AG18" s="10">
        <v>5359.9</v>
      </c>
      <c r="AH18" s="10">
        <v>5126.29</v>
      </c>
      <c r="AI18" s="10">
        <v>5918.51</v>
      </c>
      <c r="AJ18" s="10">
        <v>5583.46</v>
      </c>
      <c r="AK18" s="10">
        <v>7057.58</v>
      </c>
      <c r="AL18" s="10">
        <v>5551.24</v>
      </c>
      <c r="AM18" s="10">
        <v>5317.63</v>
      </c>
      <c r="AN18" s="10">
        <v>5947.63</v>
      </c>
      <c r="AO18" s="10">
        <v>5947.63</v>
      </c>
      <c r="AP18" s="10">
        <v>5714.02</v>
      </c>
      <c r="AQ18" s="10">
        <v>6959.47</v>
      </c>
      <c r="AR18" s="10">
        <v>6754.25</v>
      </c>
      <c r="AS18" s="10">
        <v>6549.03</v>
      </c>
      <c r="AT18" s="10">
        <v>6343.81</v>
      </c>
      <c r="AU18" s="10">
        <v>6343.81</v>
      </c>
      <c r="AV18" s="10">
        <v>6343.81</v>
      </c>
      <c r="AW18" s="10">
        <v>6343.81</v>
      </c>
      <c r="AX18" s="10">
        <v>6343.81</v>
      </c>
      <c r="AY18" s="10">
        <v>6343.81</v>
      </c>
      <c r="AZ18" s="10">
        <v>6343.81</v>
      </c>
      <c r="BA18" s="10">
        <v>8343.5</v>
      </c>
      <c r="BB18" s="10">
        <v>7343.81</v>
      </c>
      <c r="BC18" s="10">
        <v>7609.39</v>
      </c>
      <c r="BD18" s="10">
        <v>6609.39</v>
      </c>
      <c r="BE18" s="10">
        <v>6609.39</v>
      </c>
      <c r="BF18" s="10">
        <v>6609.39</v>
      </c>
      <c r="BG18" s="10">
        <v>6609.39</v>
      </c>
      <c r="BH18" s="10">
        <v>6609.39</v>
      </c>
      <c r="BI18" s="10">
        <v>8530.09</v>
      </c>
      <c r="BJ18" s="10">
        <v>7109.39</v>
      </c>
      <c r="BK18" s="10">
        <v>7109.39</v>
      </c>
      <c r="BL18" s="10">
        <v>7109.39</v>
      </c>
      <c r="BM18" s="10">
        <v>7109.39</v>
      </c>
      <c r="BN18" s="10">
        <v>7109.39</v>
      </c>
      <c r="BO18" s="10">
        <v>4266.2299999999996</v>
      </c>
      <c r="BP18" s="10">
        <v>4266.2299999999996</v>
      </c>
      <c r="BQ18" s="10">
        <v>4266.2299999999996</v>
      </c>
      <c r="BR18" s="10">
        <v>4266.2299999999996</v>
      </c>
      <c r="BS18" s="10">
        <v>4266.2299999999996</v>
      </c>
      <c r="BT18" s="10">
        <v>4266.2299999999996</v>
      </c>
      <c r="BU18" s="10">
        <v>4266.2299999999996</v>
      </c>
      <c r="BV18" s="10">
        <v>4266.2299999999996</v>
      </c>
      <c r="BW18" s="10">
        <v>4266.2299999999996</v>
      </c>
      <c r="BX18" s="10">
        <v>4266.2299999999996</v>
      </c>
      <c r="BY18" s="10">
        <v>4266.2299999999996</v>
      </c>
      <c r="BZ18" s="10">
        <v>4816.2299999999996</v>
      </c>
      <c r="CA18" s="10">
        <v>4816.2299999999996</v>
      </c>
    </row>
    <row r="19" spans="1:79" x14ac:dyDescent="0.3">
      <c r="A19" s="9" t="s">
        <v>210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5743.97</v>
      </c>
      <c r="AB19" s="10">
        <v>5135.3599999999997</v>
      </c>
      <c r="AC19" s="10">
        <v>7909.15</v>
      </c>
      <c r="AD19" s="10">
        <v>7079.48</v>
      </c>
      <c r="AE19" s="10">
        <v>6249.81</v>
      </c>
      <c r="AF19" s="10">
        <v>5420.14</v>
      </c>
      <c r="AG19" s="10">
        <v>4590.47</v>
      </c>
      <c r="AH19" s="10">
        <v>3760.8</v>
      </c>
      <c r="AI19" s="10">
        <v>2931.13</v>
      </c>
      <c r="AJ19" s="10">
        <v>2101.46</v>
      </c>
      <c r="AK19" s="10">
        <v>1271.79</v>
      </c>
      <c r="AL19" s="10">
        <v>10561.34</v>
      </c>
      <c r="AM19" s="10">
        <v>9497.0300000000007</v>
      </c>
      <c r="AN19" s="10">
        <v>15096.76</v>
      </c>
      <c r="AO19" s="10">
        <v>13698.16</v>
      </c>
      <c r="AP19" s="10">
        <v>12299.56</v>
      </c>
      <c r="AQ19" s="10">
        <v>10900.96</v>
      </c>
      <c r="AR19" s="10">
        <v>9502.36</v>
      </c>
      <c r="AS19" s="10">
        <v>8103.76</v>
      </c>
      <c r="AT19" s="10">
        <v>7061.46</v>
      </c>
      <c r="AU19" s="10">
        <v>5662.86</v>
      </c>
      <c r="AV19" s="10">
        <v>4264.26</v>
      </c>
      <c r="AW19" s="10">
        <v>2865.66</v>
      </c>
      <c r="AX19" s="10">
        <v>3692.64</v>
      </c>
      <c r="AY19" s="10">
        <v>18360.98</v>
      </c>
      <c r="AZ19" s="10">
        <v>18012.14</v>
      </c>
      <c r="BA19" s="10">
        <v>18012.14</v>
      </c>
      <c r="BB19" s="10">
        <v>18012.14</v>
      </c>
      <c r="BC19" s="10">
        <v>18012.14</v>
      </c>
      <c r="BD19" s="10">
        <v>18012.14</v>
      </c>
      <c r="BE19" s="10">
        <v>18012.14</v>
      </c>
      <c r="BF19" s="10">
        <v>18012.14</v>
      </c>
      <c r="BG19" s="10">
        <v>18012.14</v>
      </c>
      <c r="BH19" s="10">
        <v>18012.14</v>
      </c>
      <c r="BI19" s="10">
        <v>18012.14</v>
      </c>
      <c r="BJ19" s="10">
        <v>18012.14</v>
      </c>
      <c r="BK19" s="10">
        <v>17833.96</v>
      </c>
      <c r="BL19" s="10">
        <v>17833.96</v>
      </c>
      <c r="BM19" s="10">
        <v>17833.96</v>
      </c>
      <c r="BN19" s="10">
        <v>17833.96</v>
      </c>
      <c r="BO19" s="10">
        <v>17833.96</v>
      </c>
      <c r="BP19" s="10">
        <v>17833.96</v>
      </c>
      <c r="BQ19" s="10">
        <v>17833.96</v>
      </c>
      <c r="BR19" s="10">
        <v>17833.96</v>
      </c>
      <c r="BS19" s="10">
        <v>17833.96</v>
      </c>
      <c r="BT19" s="10">
        <v>17833.96</v>
      </c>
      <c r="BU19" s="10">
        <v>17833.96</v>
      </c>
      <c r="BV19" s="10">
        <v>17655.78</v>
      </c>
      <c r="BW19" s="10">
        <v>17655.78</v>
      </c>
      <c r="BX19" s="10">
        <v>17655.78</v>
      </c>
      <c r="BY19" s="10">
        <v>17655.78</v>
      </c>
      <c r="BZ19" s="10">
        <v>17655.78</v>
      </c>
      <c r="CA19" s="10">
        <v>17655.78</v>
      </c>
    </row>
    <row r="20" spans="1:79" x14ac:dyDescent="0.3">
      <c r="A20" s="11" t="s">
        <v>211</v>
      </c>
      <c r="B20" s="6">
        <f t="shared" ref="B20:BM20" si="2">SUM(B18:B19)</f>
        <v>0</v>
      </c>
      <c r="C20" s="6">
        <f t="shared" si="2"/>
        <v>0</v>
      </c>
      <c r="D20" s="6">
        <f t="shared" si="2"/>
        <v>-910.25</v>
      </c>
      <c r="E20" s="6">
        <f t="shared" si="2"/>
        <v>-2334.11</v>
      </c>
      <c r="F20" s="6">
        <f t="shared" si="2"/>
        <v>-2334.11</v>
      </c>
      <c r="G20" s="6">
        <f t="shared" si="2"/>
        <v>-2334.11</v>
      </c>
      <c r="H20" s="6">
        <f t="shared" si="2"/>
        <v>-2334.11</v>
      </c>
      <c r="I20" s="6">
        <f t="shared" si="2"/>
        <v>-2334.11</v>
      </c>
      <c r="J20" s="6">
        <f t="shared" si="2"/>
        <v>-2334.11</v>
      </c>
      <c r="K20" s="6">
        <f t="shared" si="2"/>
        <v>-2334.11</v>
      </c>
      <c r="L20" s="6">
        <f t="shared" si="2"/>
        <v>-2334.11</v>
      </c>
      <c r="M20" s="6">
        <f t="shared" si="2"/>
        <v>-2334.11</v>
      </c>
      <c r="N20" s="6">
        <f t="shared" si="2"/>
        <v>-2334.11</v>
      </c>
      <c r="O20" s="6">
        <f t="shared" si="2"/>
        <v>-2334.11</v>
      </c>
      <c r="P20" s="6">
        <f t="shared" si="2"/>
        <v>-2334.11</v>
      </c>
      <c r="Q20" s="6">
        <f t="shared" si="2"/>
        <v>-2334.11</v>
      </c>
      <c r="R20" s="6">
        <f t="shared" si="2"/>
        <v>-2334.11</v>
      </c>
      <c r="S20" s="6">
        <f t="shared" si="2"/>
        <v>-2334.11</v>
      </c>
      <c r="T20" s="6">
        <f t="shared" si="2"/>
        <v>-2334.11</v>
      </c>
      <c r="U20" s="6">
        <f t="shared" si="2"/>
        <v>-2334.11</v>
      </c>
      <c r="V20" s="6">
        <f t="shared" si="2"/>
        <v>-2334.11</v>
      </c>
      <c r="W20" s="6">
        <f t="shared" si="2"/>
        <v>-2334.11</v>
      </c>
      <c r="X20" s="6">
        <f t="shared" si="2"/>
        <v>-2334.11</v>
      </c>
      <c r="Y20" s="6">
        <f t="shared" si="2"/>
        <v>-2334.11</v>
      </c>
      <c r="Z20" s="6">
        <f t="shared" si="2"/>
        <v>-2334.11</v>
      </c>
      <c r="AA20" s="6">
        <f t="shared" si="2"/>
        <v>3409.86</v>
      </c>
      <c r="AB20" s="6">
        <f t="shared" si="2"/>
        <v>2801.2499999999995</v>
      </c>
      <c r="AC20" s="6">
        <f t="shared" si="2"/>
        <v>5575.0399999999991</v>
      </c>
      <c r="AD20" s="6">
        <f t="shared" si="2"/>
        <v>4745.369999999999</v>
      </c>
      <c r="AE20" s="6">
        <f t="shared" si="2"/>
        <v>9092.9700000000012</v>
      </c>
      <c r="AF20" s="6">
        <f t="shared" si="2"/>
        <v>10166.650000000001</v>
      </c>
      <c r="AG20" s="6">
        <f t="shared" si="2"/>
        <v>9950.369999999999</v>
      </c>
      <c r="AH20" s="6">
        <f t="shared" si="2"/>
        <v>8887.09</v>
      </c>
      <c r="AI20" s="6">
        <f t="shared" si="2"/>
        <v>8849.64</v>
      </c>
      <c r="AJ20" s="6">
        <f t="shared" si="2"/>
        <v>7684.92</v>
      </c>
      <c r="AK20" s="6">
        <f t="shared" si="2"/>
        <v>8329.369999999999</v>
      </c>
      <c r="AL20" s="6">
        <f t="shared" si="2"/>
        <v>16112.58</v>
      </c>
      <c r="AM20" s="6">
        <f t="shared" si="2"/>
        <v>14814.66</v>
      </c>
      <c r="AN20" s="6">
        <f t="shared" si="2"/>
        <v>21044.39</v>
      </c>
      <c r="AO20" s="6">
        <f t="shared" si="2"/>
        <v>19645.79</v>
      </c>
      <c r="AP20" s="6">
        <f t="shared" si="2"/>
        <v>18013.580000000002</v>
      </c>
      <c r="AQ20" s="6">
        <f t="shared" si="2"/>
        <v>17860.43</v>
      </c>
      <c r="AR20" s="6">
        <f t="shared" si="2"/>
        <v>16256.61</v>
      </c>
      <c r="AS20" s="6">
        <f t="shared" si="2"/>
        <v>14652.79</v>
      </c>
      <c r="AT20" s="6">
        <f t="shared" si="2"/>
        <v>13405.27</v>
      </c>
      <c r="AU20" s="6">
        <f t="shared" si="2"/>
        <v>12006.67</v>
      </c>
      <c r="AV20" s="6">
        <f t="shared" si="2"/>
        <v>10608.07</v>
      </c>
      <c r="AW20" s="6">
        <f t="shared" si="2"/>
        <v>9209.4700000000012</v>
      </c>
      <c r="AX20" s="6">
        <f t="shared" si="2"/>
        <v>10036.450000000001</v>
      </c>
      <c r="AY20" s="6">
        <f t="shared" si="2"/>
        <v>24704.79</v>
      </c>
      <c r="AZ20" s="6">
        <f t="shared" si="2"/>
        <v>24355.95</v>
      </c>
      <c r="BA20" s="6">
        <f t="shared" si="2"/>
        <v>26355.64</v>
      </c>
      <c r="BB20" s="6">
        <f t="shared" si="2"/>
        <v>25355.95</v>
      </c>
      <c r="BC20" s="6">
        <f t="shared" si="2"/>
        <v>25621.53</v>
      </c>
      <c r="BD20" s="6">
        <f t="shared" si="2"/>
        <v>24621.53</v>
      </c>
      <c r="BE20" s="6">
        <f t="shared" si="2"/>
        <v>24621.53</v>
      </c>
      <c r="BF20" s="6">
        <f t="shared" si="2"/>
        <v>24621.53</v>
      </c>
      <c r="BG20" s="6">
        <f t="shared" si="2"/>
        <v>24621.53</v>
      </c>
      <c r="BH20" s="6">
        <f t="shared" si="2"/>
        <v>24621.53</v>
      </c>
      <c r="BI20" s="6">
        <f t="shared" si="2"/>
        <v>26542.23</v>
      </c>
      <c r="BJ20" s="6">
        <f t="shared" si="2"/>
        <v>25121.53</v>
      </c>
      <c r="BK20" s="6">
        <f t="shared" si="2"/>
        <v>24943.35</v>
      </c>
      <c r="BL20" s="6">
        <f t="shared" si="2"/>
        <v>24943.35</v>
      </c>
      <c r="BM20" s="6">
        <f t="shared" si="2"/>
        <v>24943.35</v>
      </c>
      <c r="BN20" s="6">
        <f t="shared" ref="BN20:CA20" si="3">SUM(BN18:BN19)</f>
        <v>24943.35</v>
      </c>
      <c r="BO20" s="6">
        <f t="shared" si="3"/>
        <v>22100.19</v>
      </c>
      <c r="BP20" s="6">
        <f t="shared" si="3"/>
        <v>22100.19</v>
      </c>
      <c r="BQ20" s="6">
        <f t="shared" si="3"/>
        <v>22100.19</v>
      </c>
      <c r="BR20" s="6">
        <f t="shared" si="3"/>
        <v>22100.19</v>
      </c>
      <c r="BS20" s="6">
        <f t="shared" si="3"/>
        <v>22100.19</v>
      </c>
      <c r="BT20" s="6">
        <f t="shared" si="3"/>
        <v>22100.19</v>
      </c>
      <c r="BU20" s="6">
        <f t="shared" si="3"/>
        <v>22100.19</v>
      </c>
      <c r="BV20" s="6">
        <f t="shared" si="3"/>
        <v>21922.01</v>
      </c>
      <c r="BW20" s="6">
        <f t="shared" si="3"/>
        <v>21922.01</v>
      </c>
      <c r="BX20" s="6">
        <f t="shared" si="3"/>
        <v>21922.01</v>
      </c>
      <c r="BY20" s="6">
        <f t="shared" si="3"/>
        <v>21922.01</v>
      </c>
      <c r="BZ20" s="6">
        <f t="shared" si="3"/>
        <v>22472.01</v>
      </c>
      <c r="CA20" s="6">
        <f t="shared" si="3"/>
        <v>22472.01</v>
      </c>
    </row>
    <row r="21" spans="1:79" x14ac:dyDescent="0.3">
      <c r="A21" s="12" t="s">
        <v>212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26.52</v>
      </c>
      <c r="X21" s="10">
        <v>26.52</v>
      </c>
      <c r="Y21" s="10">
        <v>26.52</v>
      </c>
      <c r="Z21" s="10">
        <v>26.52</v>
      </c>
      <c r="AA21" s="10">
        <v>26.52</v>
      </c>
      <c r="AB21" s="10">
        <v>26.52</v>
      </c>
      <c r="AC21" s="10">
        <v>26.52</v>
      </c>
      <c r="AD21" s="10">
        <v>26.52</v>
      </c>
      <c r="AE21" s="10">
        <v>26.52</v>
      </c>
      <c r="AF21" s="10">
        <v>26.52</v>
      </c>
      <c r="AG21" s="10">
        <v>26.52</v>
      </c>
      <c r="AH21" s="10">
        <v>26.52</v>
      </c>
      <c r="AI21" s="10">
        <v>26.52</v>
      </c>
      <c r="AJ21" s="10">
        <v>26.52</v>
      </c>
      <c r="AK21" s="10">
        <v>26.52</v>
      </c>
      <c r="AL21" s="10">
        <v>26.52</v>
      </c>
      <c r="AM21" s="10">
        <v>26.52</v>
      </c>
      <c r="AN21" s="10">
        <v>26.52</v>
      </c>
      <c r="AO21" s="10">
        <v>26.52</v>
      </c>
      <c r="AP21" s="10">
        <v>26.52</v>
      </c>
      <c r="AQ21" s="10">
        <v>26.52</v>
      </c>
      <c r="AR21" s="10">
        <v>26.52</v>
      </c>
      <c r="AS21" s="10">
        <v>26.52</v>
      </c>
      <c r="AT21" s="10">
        <v>26.52</v>
      </c>
      <c r="AU21" s="10">
        <v>26.52</v>
      </c>
      <c r="AV21" s="10">
        <v>26.52</v>
      </c>
      <c r="AW21" s="10">
        <v>26.52</v>
      </c>
      <c r="AX21" s="10">
        <v>26.52</v>
      </c>
      <c r="AY21" s="10">
        <v>26.52</v>
      </c>
      <c r="AZ21" s="10">
        <v>26.52</v>
      </c>
      <c r="BA21" s="10">
        <v>26.52</v>
      </c>
      <c r="BB21" s="10">
        <v>26.52</v>
      </c>
      <c r="BC21" s="10">
        <v>26.52</v>
      </c>
      <c r="BD21" s="10">
        <v>26.52</v>
      </c>
      <c r="BE21" s="10">
        <v>26.52</v>
      </c>
      <c r="BF21" s="10">
        <v>26.52</v>
      </c>
      <c r="BG21" s="10">
        <v>26.52</v>
      </c>
      <c r="BH21" s="10">
        <v>26.52</v>
      </c>
      <c r="BI21" s="10">
        <v>26.52</v>
      </c>
      <c r="BJ21" s="10">
        <v>26.52</v>
      </c>
      <c r="BK21" s="10">
        <v>26.52</v>
      </c>
      <c r="BL21" s="10">
        <v>26.52</v>
      </c>
      <c r="BM21" s="10">
        <v>26.52</v>
      </c>
      <c r="BN21" s="10">
        <v>26.52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</row>
    <row r="22" spans="1:79" x14ac:dyDescent="0.3">
      <c r="A22" s="12" t="s">
        <v>213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2181.8200000000002</v>
      </c>
      <c r="AA22" s="10">
        <v>2181.8200000000002</v>
      </c>
      <c r="AB22" s="10">
        <v>6766.37</v>
      </c>
      <c r="AC22" s="10">
        <v>6766.37</v>
      </c>
      <c r="AD22" s="10">
        <v>6766.37</v>
      </c>
      <c r="AE22" s="10">
        <v>6766.37</v>
      </c>
      <c r="AF22" s="10">
        <v>6766.37</v>
      </c>
      <c r="AG22" s="10">
        <v>6766.37</v>
      </c>
      <c r="AH22" s="10">
        <v>6766.37</v>
      </c>
      <c r="AI22" s="10">
        <v>6766.37</v>
      </c>
      <c r="AJ22" s="10">
        <v>6766.37</v>
      </c>
      <c r="AK22" s="10">
        <v>6766.37</v>
      </c>
      <c r="AL22" s="10">
        <v>6766.37</v>
      </c>
      <c r="AM22" s="10">
        <v>6766.37</v>
      </c>
      <c r="AN22" s="10">
        <v>6766.37</v>
      </c>
      <c r="AO22" s="10">
        <v>6766.37</v>
      </c>
      <c r="AP22" s="10">
        <v>6766.37</v>
      </c>
      <c r="AQ22" s="10">
        <v>9024.5499999999993</v>
      </c>
      <c r="AR22" s="10">
        <v>9024.5499999999993</v>
      </c>
      <c r="AS22" s="10">
        <v>9024.5499999999993</v>
      </c>
      <c r="AT22" s="10">
        <v>9524.5499999999993</v>
      </c>
      <c r="AU22" s="10">
        <v>12533.64</v>
      </c>
      <c r="AV22" s="10">
        <v>12533.64</v>
      </c>
      <c r="AW22" s="10">
        <v>12533.64</v>
      </c>
      <c r="AX22" s="10">
        <v>12533.64</v>
      </c>
      <c r="AY22" s="10">
        <v>12533.64</v>
      </c>
      <c r="AZ22" s="10">
        <v>15260.91</v>
      </c>
      <c r="BA22" s="10">
        <v>15260.91</v>
      </c>
      <c r="BB22" s="10">
        <v>16283.64</v>
      </c>
      <c r="BC22" s="10">
        <v>16283.64</v>
      </c>
      <c r="BD22" s="10">
        <v>20283.64</v>
      </c>
      <c r="BE22" s="10">
        <v>21488.19</v>
      </c>
      <c r="BF22" s="10">
        <v>25742.73</v>
      </c>
      <c r="BG22" s="10">
        <v>25742.73</v>
      </c>
      <c r="BH22" s="10">
        <v>25742.73</v>
      </c>
      <c r="BI22" s="10">
        <v>25742.73</v>
      </c>
      <c r="BJ22" s="10">
        <v>25742.73</v>
      </c>
      <c r="BK22" s="10">
        <v>25742.73</v>
      </c>
      <c r="BL22" s="10">
        <v>25742.73</v>
      </c>
      <c r="BM22" s="10">
        <v>25742.73</v>
      </c>
      <c r="BN22" s="10">
        <v>25742.73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</row>
    <row r="23" spans="1:79" x14ac:dyDescent="0.3">
      <c r="A23" s="12" t="s">
        <v>214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256.62</v>
      </c>
      <c r="AJ23" s="10">
        <v>256.62</v>
      </c>
      <c r="AK23" s="10">
        <v>256.62</v>
      </c>
      <c r="AL23" s="10">
        <v>256.62</v>
      </c>
      <c r="AM23" s="10">
        <v>256.62</v>
      </c>
      <c r="AN23" s="10">
        <v>256.62</v>
      </c>
      <c r="AO23" s="10">
        <v>256.62</v>
      </c>
      <c r="AP23" s="10">
        <v>256.62</v>
      </c>
      <c r="AQ23" s="10">
        <v>256.62</v>
      </c>
      <c r="AR23" s="10">
        <v>256.62</v>
      </c>
      <c r="AS23" s="10">
        <v>256.62</v>
      </c>
      <c r="AT23" s="10">
        <v>256.62</v>
      </c>
      <c r="AU23" s="10">
        <v>256.62</v>
      </c>
      <c r="AV23" s="10">
        <v>256.62</v>
      </c>
      <c r="AW23" s="10">
        <v>256.62</v>
      </c>
      <c r="AX23" s="10">
        <v>256.62</v>
      </c>
      <c r="AY23" s="10">
        <v>256.62</v>
      </c>
      <c r="AZ23" s="10">
        <v>256.62</v>
      </c>
      <c r="BA23" s="10">
        <v>256.62</v>
      </c>
      <c r="BB23" s="10">
        <v>256.62</v>
      </c>
      <c r="BC23" s="10">
        <v>256.62</v>
      </c>
      <c r="BD23" s="10">
        <v>256.62</v>
      </c>
      <c r="BE23" s="10">
        <v>256.62</v>
      </c>
      <c r="BF23" s="10">
        <v>256.62</v>
      </c>
      <c r="BG23" s="10">
        <v>256.62</v>
      </c>
      <c r="BH23" s="10">
        <v>256.62</v>
      </c>
      <c r="BI23" s="10">
        <v>256.62</v>
      </c>
      <c r="BJ23" s="10">
        <v>256.62</v>
      </c>
      <c r="BK23" s="10">
        <v>256.62</v>
      </c>
      <c r="BL23" s="10">
        <v>256.62</v>
      </c>
      <c r="BM23" s="10">
        <v>256.62</v>
      </c>
      <c r="BN23" s="10">
        <v>256.62</v>
      </c>
      <c r="BO23" s="10">
        <v>256.62</v>
      </c>
      <c r="BP23" s="10">
        <v>256.62</v>
      </c>
      <c r="BQ23" s="10">
        <v>256.62</v>
      </c>
      <c r="BR23" s="10">
        <v>256.62</v>
      </c>
      <c r="BS23" s="10">
        <v>256.62</v>
      </c>
      <c r="BT23" s="10">
        <v>256.62</v>
      </c>
      <c r="BU23" s="10">
        <v>256.62</v>
      </c>
      <c r="BV23" s="10">
        <v>256.62</v>
      </c>
      <c r="BW23" s="10">
        <v>256.62</v>
      </c>
      <c r="BX23" s="10">
        <v>256.62</v>
      </c>
      <c r="BY23" s="10">
        <v>256.62</v>
      </c>
      <c r="BZ23" s="10">
        <v>256.62</v>
      </c>
      <c r="CA23" s="10">
        <v>256.62</v>
      </c>
    </row>
    <row r="24" spans="1:79" x14ac:dyDescent="0.3">
      <c r="A24" s="7" t="s">
        <v>215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</row>
    <row r="25" spans="1:79" x14ac:dyDescent="0.3">
      <c r="A25" s="9" t="s">
        <v>216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3283.3</v>
      </c>
      <c r="AX25" s="10">
        <v>3283.3</v>
      </c>
      <c r="AY25" s="10">
        <v>3283.3</v>
      </c>
      <c r="AZ25" s="10">
        <v>3283.3</v>
      </c>
      <c r="BA25" s="10">
        <v>3283.3</v>
      </c>
      <c r="BB25" s="10">
        <v>3283.3</v>
      </c>
      <c r="BC25" s="10">
        <v>3283.3</v>
      </c>
      <c r="BD25" s="10">
        <v>3283.3</v>
      </c>
      <c r="BE25" s="10">
        <v>3283.3</v>
      </c>
      <c r="BF25" s="10">
        <v>3943.3</v>
      </c>
      <c r="BG25" s="10">
        <v>3943.3</v>
      </c>
      <c r="BH25" s="10">
        <v>3943.3</v>
      </c>
      <c r="BI25" s="10">
        <v>3943.3</v>
      </c>
      <c r="BJ25" s="10">
        <v>3943.3</v>
      </c>
      <c r="BK25" s="10">
        <v>3943.3</v>
      </c>
      <c r="BL25" s="10">
        <v>3943.3</v>
      </c>
      <c r="BM25" s="10">
        <v>3943.3</v>
      </c>
      <c r="BN25" s="10">
        <v>3943.3</v>
      </c>
      <c r="BO25" s="10">
        <v>3943.3</v>
      </c>
      <c r="BP25" s="10">
        <v>3943.3</v>
      </c>
      <c r="BQ25" s="10">
        <v>3943.3</v>
      </c>
      <c r="BR25" s="10">
        <v>3943.3</v>
      </c>
      <c r="BS25" s="10">
        <v>3943.3</v>
      </c>
      <c r="BT25" s="10">
        <v>3943.3</v>
      </c>
      <c r="BU25" s="10">
        <v>3943.3</v>
      </c>
      <c r="BV25" s="10">
        <v>3943.3</v>
      </c>
      <c r="BW25" s="10">
        <v>3943.3</v>
      </c>
      <c r="BX25" s="10">
        <v>3943.3</v>
      </c>
      <c r="BY25" s="10">
        <v>3943.3</v>
      </c>
      <c r="BZ25" s="10">
        <v>3943.3</v>
      </c>
      <c r="CA25" s="10">
        <v>3943.3</v>
      </c>
    </row>
    <row r="26" spans="1:79" x14ac:dyDescent="0.3">
      <c r="A26" s="9" t="s">
        <v>215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2565.5</v>
      </c>
      <c r="BG26" s="10">
        <v>8285.5</v>
      </c>
      <c r="BH26" s="10">
        <v>8285.5</v>
      </c>
      <c r="BI26" s="10">
        <v>8285.5</v>
      </c>
      <c r="BJ26" s="10">
        <v>8285.5</v>
      </c>
      <c r="BK26" s="10">
        <v>8285.5</v>
      </c>
      <c r="BL26" s="10">
        <v>8285.5</v>
      </c>
      <c r="BM26" s="10">
        <v>8285.5</v>
      </c>
      <c r="BN26" s="10">
        <v>8285.5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</row>
    <row r="27" spans="1:79" x14ac:dyDescent="0.3">
      <c r="A27" s="11" t="s">
        <v>217</v>
      </c>
      <c r="B27" s="6">
        <f t="shared" ref="B27:BM27" si="4">SUM(B25:B26)</f>
        <v>0</v>
      </c>
      <c r="C27" s="6">
        <f t="shared" si="4"/>
        <v>0</v>
      </c>
      <c r="D27" s="6">
        <f t="shared" si="4"/>
        <v>0</v>
      </c>
      <c r="E27" s="6">
        <f t="shared" si="4"/>
        <v>0</v>
      </c>
      <c r="F27" s="6">
        <f t="shared" si="4"/>
        <v>0</v>
      </c>
      <c r="G27" s="6">
        <f t="shared" si="4"/>
        <v>0</v>
      </c>
      <c r="H27" s="6">
        <f t="shared" si="4"/>
        <v>0</v>
      </c>
      <c r="I27" s="6">
        <f t="shared" si="4"/>
        <v>0</v>
      </c>
      <c r="J27" s="6">
        <f t="shared" si="4"/>
        <v>0</v>
      </c>
      <c r="K27" s="6">
        <f t="shared" si="4"/>
        <v>0</v>
      </c>
      <c r="L27" s="6">
        <f t="shared" si="4"/>
        <v>0</v>
      </c>
      <c r="M27" s="6">
        <f t="shared" si="4"/>
        <v>0</v>
      </c>
      <c r="N27" s="6">
        <f t="shared" si="4"/>
        <v>0</v>
      </c>
      <c r="O27" s="6">
        <f t="shared" si="4"/>
        <v>0</v>
      </c>
      <c r="P27" s="6">
        <f t="shared" si="4"/>
        <v>0</v>
      </c>
      <c r="Q27" s="6">
        <f t="shared" si="4"/>
        <v>0</v>
      </c>
      <c r="R27" s="6">
        <f t="shared" si="4"/>
        <v>0</v>
      </c>
      <c r="S27" s="6">
        <f t="shared" si="4"/>
        <v>0</v>
      </c>
      <c r="T27" s="6">
        <f t="shared" si="4"/>
        <v>0</v>
      </c>
      <c r="U27" s="6">
        <f t="shared" si="4"/>
        <v>0</v>
      </c>
      <c r="V27" s="6">
        <f t="shared" si="4"/>
        <v>0</v>
      </c>
      <c r="W27" s="6">
        <f t="shared" si="4"/>
        <v>0</v>
      </c>
      <c r="X27" s="6">
        <f t="shared" si="4"/>
        <v>0</v>
      </c>
      <c r="Y27" s="6">
        <f t="shared" si="4"/>
        <v>0</v>
      </c>
      <c r="Z27" s="6">
        <f t="shared" si="4"/>
        <v>0</v>
      </c>
      <c r="AA27" s="6">
        <f t="shared" si="4"/>
        <v>0</v>
      </c>
      <c r="AB27" s="6">
        <f t="shared" si="4"/>
        <v>0</v>
      </c>
      <c r="AC27" s="6">
        <f t="shared" si="4"/>
        <v>0</v>
      </c>
      <c r="AD27" s="6">
        <f t="shared" si="4"/>
        <v>0</v>
      </c>
      <c r="AE27" s="6">
        <f t="shared" si="4"/>
        <v>0</v>
      </c>
      <c r="AF27" s="6">
        <f t="shared" si="4"/>
        <v>0</v>
      </c>
      <c r="AG27" s="6">
        <f t="shared" si="4"/>
        <v>0</v>
      </c>
      <c r="AH27" s="6">
        <f t="shared" si="4"/>
        <v>0</v>
      </c>
      <c r="AI27" s="6">
        <f t="shared" si="4"/>
        <v>0</v>
      </c>
      <c r="AJ27" s="6">
        <f t="shared" si="4"/>
        <v>0</v>
      </c>
      <c r="AK27" s="6">
        <f t="shared" si="4"/>
        <v>0</v>
      </c>
      <c r="AL27" s="6">
        <f t="shared" si="4"/>
        <v>0</v>
      </c>
      <c r="AM27" s="6">
        <f t="shared" si="4"/>
        <v>0</v>
      </c>
      <c r="AN27" s="6">
        <f t="shared" si="4"/>
        <v>0</v>
      </c>
      <c r="AO27" s="6">
        <f t="shared" si="4"/>
        <v>0</v>
      </c>
      <c r="AP27" s="6">
        <f t="shared" si="4"/>
        <v>0</v>
      </c>
      <c r="AQ27" s="6">
        <f t="shared" si="4"/>
        <v>0</v>
      </c>
      <c r="AR27" s="6">
        <f t="shared" si="4"/>
        <v>0</v>
      </c>
      <c r="AS27" s="6">
        <f t="shared" si="4"/>
        <v>0</v>
      </c>
      <c r="AT27" s="6">
        <f t="shared" si="4"/>
        <v>0</v>
      </c>
      <c r="AU27" s="6">
        <f t="shared" si="4"/>
        <v>0</v>
      </c>
      <c r="AV27" s="6">
        <f t="shared" si="4"/>
        <v>0</v>
      </c>
      <c r="AW27" s="6">
        <f t="shared" si="4"/>
        <v>3283.3</v>
      </c>
      <c r="AX27" s="6">
        <f t="shared" si="4"/>
        <v>3283.3</v>
      </c>
      <c r="AY27" s="6">
        <f t="shared" si="4"/>
        <v>3283.3</v>
      </c>
      <c r="AZ27" s="6">
        <f t="shared" si="4"/>
        <v>3283.3</v>
      </c>
      <c r="BA27" s="6">
        <f t="shared" si="4"/>
        <v>3283.3</v>
      </c>
      <c r="BB27" s="6">
        <f t="shared" si="4"/>
        <v>3283.3</v>
      </c>
      <c r="BC27" s="6">
        <f t="shared" si="4"/>
        <v>3283.3</v>
      </c>
      <c r="BD27" s="6">
        <f t="shared" si="4"/>
        <v>3283.3</v>
      </c>
      <c r="BE27" s="6">
        <f t="shared" si="4"/>
        <v>3283.3</v>
      </c>
      <c r="BF27" s="6">
        <f t="shared" si="4"/>
        <v>6508.8</v>
      </c>
      <c r="BG27" s="6">
        <f t="shared" si="4"/>
        <v>12228.8</v>
      </c>
      <c r="BH27" s="6">
        <f t="shared" si="4"/>
        <v>12228.8</v>
      </c>
      <c r="BI27" s="6">
        <f t="shared" si="4"/>
        <v>12228.8</v>
      </c>
      <c r="BJ27" s="6">
        <f t="shared" si="4"/>
        <v>12228.8</v>
      </c>
      <c r="BK27" s="6">
        <f t="shared" si="4"/>
        <v>12228.8</v>
      </c>
      <c r="BL27" s="6">
        <f t="shared" si="4"/>
        <v>12228.8</v>
      </c>
      <c r="BM27" s="6">
        <f t="shared" si="4"/>
        <v>12228.8</v>
      </c>
      <c r="BN27" s="6">
        <f t="shared" ref="BN27:CA27" si="5">SUM(BN25:BN26)</f>
        <v>12228.8</v>
      </c>
      <c r="BO27" s="6">
        <f t="shared" si="5"/>
        <v>3943.3</v>
      </c>
      <c r="BP27" s="6">
        <f t="shared" si="5"/>
        <v>3943.3</v>
      </c>
      <c r="BQ27" s="6">
        <f t="shared" si="5"/>
        <v>3943.3</v>
      </c>
      <c r="BR27" s="6">
        <f t="shared" si="5"/>
        <v>3943.3</v>
      </c>
      <c r="BS27" s="6">
        <f t="shared" si="5"/>
        <v>3943.3</v>
      </c>
      <c r="BT27" s="6">
        <f t="shared" si="5"/>
        <v>3943.3</v>
      </c>
      <c r="BU27" s="6">
        <f t="shared" si="5"/>
        <v>3943.3</v>
      </c>
      <c r="BV27" s="6">
        <f t="shared" si="5"/>
        <v>3943.3</v>
      </c>
      <c r="BW27" s="6">
        <f t="shared" si="5"/>
        <v>3943.3</v>
      </c>
      <c r="BX27" s="6">
        <f t="shared" si="5"/>
        <v>3943.3</v>
      </c>
      <c r="BY27" s="6">
        <f t="shared" si="5"/>
        <v>3943.3</v>
      </c>
      <c r="BZ27" s="6">
        <f t="shared" si="5"/>
        <v>3943.3</v>
      </c>
      <c r="CA27" s="6">
        <f t="shared" si="5"/>
        <v>3943.3</v>
      </c>
    </row>
    <row r="28" spans="1:79" x14ac:dyDescent="0.3">
      <c r="A28" s="12" t="s">
        <v>218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336</v>
      </c>
      <c r="BP28" s="10">
        <v>336</v>
      </c>
      <c r="BQ28" s="10">
        <v>336</v>
      </c>
      <c r="BR28" s="10">
        <v>336</v>
      </c>
      <c r="BS28" s="10">
        <v>336</v>
      </c>
      <c r="BT28" s="10">
        <v>336</v>
      </c>
      <c r="BU28" s="10">
        <v>336</v>
      </c>
      <c r="BV28" s="10">
        <v>336</v>
      </c>
      <c r="BW28" s="10">
        <v>336</v>
      </c>
      <c r="BX28" s="10">
        <v>336</v>
      </c>
      <c r="BY28" s="10">
        <v>336</v>
      </c>
      <c r="BZ28" s="10">
        <v>336</v>
      </c>
      <c r="CA28" s="10">
        <v>336</v>
      </c>
    </row>
    <row r="29" spans="1:79" x14ac:dyDescent="0.3">
      <c r="A29" s="5" t="s">
        <v>219</v>
      </c>
      <c r="B29" s="6">
        <f t="shared" ref="B29:BM29" si="6">SUM(B20,B27,B21:B23,B28)</f>
        <v>0</v>
      </c>
      <c r="C29" s="6">
        <f t="shared" si="6"/>
        <v>0</v>
      </c>
      <c r="D29" s="6">
        <f t="shared" si="6"/>
        <v>-910.25</v>
      </c>
      <c r="E29" s="6">
        <f t="shared" si="6"/>
        <v>-2334.11</v>
      </c>
      <c r="F29" s="6">
        <f t="shared" si="6"/>
        <v>-2334.11</v>
      </c>
      <c r="G29" s="6">
        <f t="shared" si="6"/>
        <v>-2334.11</v>
      </c>
      <c r="H29" s="6">
        <f t="shared" si="6"/>
        <v>-2334.11</v>
      </c>
      <c r="I29" s="6">
        <f t="shared" si="6"/>
        <v>-2334.11</v>
      </c>
      <c r="J29" s="6">
        <f t="shared" si="6"/>
        <v>-2334.11</v>
      </c>
      <c r="K29" s="6">
        <f t="shared" si="6"/>
        <v>-2334.11</v>
      </c>
      <c r="L29" s="6">
        <f t="shared" si="6"/>
        <v>-2334.11</v>
      </c>
      <c r="M29" s="6">
        <f t="shared" si="6"/>
        <v>-2334.11</v>
      </c>
      <c r="N29" s="6">
        <f t="shared" si="6"/>
        <v>-2334.11</v>
      </c>
      <c r="O29" s="6">
        <f t="shared" si="6"/>
        <v>-2334.11</v>
      </c>
      <c r="P29" s="6">
        <f t="shared" si="6"/>
        <v>-2334.11</v>
      </c>
      <c r="Q29" s="6">
        <f t="shared" si="6"/>
        <v>-2334.11</v>
      </c>
      <c r="R29" s="6">
        <f t="shared" si="6"/>
        <v>-2334.11</v>
      </c>
      <c r="S29" s="6">
        <f t="shared" si="6"/>
        <v>-2334.11</v>
      </c>
      <c r="T29" s="6">
        <f t="shared" si="6"/>
        <v>-2334.11</v>
      </c>
      <c r="U29" s="6">
        <f t="shared" si="6"/>
        <v>-2334.11</v>
      </c>
      <c r="V29" s="6">
        <f t="shared" si="6"/>
        <v>-2334.11</v>
      </c>
      <c r="W29" s="6">
        <f t="shared" si="6"/>
        <v>-2307.59</v>
      </c>
      <c r="X29" s="6">
        <f t="shared" si="6"/>
        <v>-2307.59</v>
      </c>
      <c r="Y29" s="6">
        <f t="shared" si="6"/>
        <v>-2307.59</v>
      </c>
      <c r="Z29" s="6">
        <f t="shared" si="6"/>
        <v>-125.76999999999998</v>
      </c>
      <c r="AA29" s="6">
        <f t="shared" si="6"/>
        <v>5618.2000000000007</v>
      </c>
      <c r="AB29" s="6">
        <f t="shared" si="6"/>
        <v>9594.14</v>
      </c>
      <c r="AC29" s="6">
        <f t="shared" si="6"/>
        <v>12367.93</v>
      </c>
      <c r="AD29" s="6">
        <f t="shared" si="6"/>
        <v>11538.259999999998</v>
      </c>
      <c r="AE29" s="6">
        <f t="shared" si="6"/>
        <v>15885.86</v>
      </c>
      <c r="AF29" s="6">
        <f t="shared" si="6"/>
        <v>16959.54</v>
      </c>
      <c r="AG29" s="6">
        <f t="shared" si="6"/>
        <v>16743.259999999998</v>
      </c>
      <c r="AH29" s="6">
        <f t="shared" si="6"/>
        <v>15679.98</v>
      </c>
      <c r="AI29" s="6">
        <f t="shared" si="6"/>
        <v>15899.15</v>
      </c>
      <c r="AJ29" s="6">
        <f t="shared" si="6"/>
        <v>14734.430000000002</v>
      </c>
      <c r="AK29" s="6">
        <f t="shared" si="6"/>
        <v>15378.88</v>
      </c>
      <c r="AL29" s="6">
        <f t="shared" si="6"/>
        <v>23162.09</v>
      </c>
      <c r="AM29" s="6">
        <f t="shared" si="6"/>
        <v>21864.17</v>
      </c>
      <c r="AN29" s="6">
        <f t="shared" si="6"/>
        <v>28093.899999999998</v>
      </c>
      <c r="AO29" s="6">
        <f t="shared" si="6"/>
        <v>26695.3</v>
      </c>
      <c r="AP29" s="6">
        <f t="shared" si="6"/>
        <v>25063.09</v>
      </c>
      <c r="AQ29" s="6">
        <f t="shared" si="6"/>
        <v>27168.12</v>
      </c>
      <c r="AR29" s="6">
        <f t="shared" si="6"/>
        <v>25564.3</v>
      </c>
      <c r="AS29" s="6">
        <f t="shared" si="6"/>
        <v>23960.48</v>
      </c>
      <c r="AT29" s="6">
        <f t="shared" si="6"/>
        <v>23212.959999999999</v>
      </c>
      <c r="AU29" s="6">
        <f t="shared" si="6"/>
        <v>24823.45</v>
      </c>
      <c r="AV29" s="6">
        <f t="shared" si="6"/>
        <v>23424.85</v>
      </c>
      <c r="AW29" s="6">
        <f t="shared" si="6"/>
        <v>25309.55</v>
      </c>
      <c r="AX29" s="6">
        <f t="shared" si="6"/>
        <v>26136.53</v>
      </c>
      <c r="AY29" s="6">
        <f t="shared" si="6"/>
        <v>40804.870000000003</v>
      </c>
      <c r="AZ29" s="6">
        <f t="shared" si="6"/>
        <v>43183.3</v>
      </c>
      <c r="BA29" s="6">
        <f t="shared" si="6"/>
        <v>45182.99</v>
      </c>
      <c r="BB29" s="6">
        <f t="shared" si="6"/>
        <v>45206.030000000006</v>
      </c>
      <c r="BC29" s="6">
        <f t="shared" si="6"/>
        <v>45471.61</v>
      </c>
      <c r="BD29" s="6">
        <f t="shared" si="6"/>
        <v>48471.61</v>
      </c>
      <c r="BE29" s="6">
        <f t="shared" si="6"/>
        <v>49676.159999999996</v>
      </c>
      <c r="BF29" s="6">
        <f t="shared" si="6"/>
        <v>57156.200000000004</v>
      </c>
      <c r="BG29" s="6">
        <f t="shared" si="6"/>
        <v>62876.200000000004</v>
      </c>
      <c r="BH29" s="6">
        <f t="shared" si="6"/>
        <v>62876.200000000004</v>
      </c>
      <c r="BI29" s="6">
        <f t="shared" si="6"/>
        <v>64796.9</v>
      </c>
      <c r="BJ29" s="6">
        <f t="shared" si="6"/>
        <v>63376.200000000004</v>
      </c>
      <c r="BK29" s="6">
        <f t="shared" si="6"/>
        <v>63198.02</v>
      </c>
      <c r="BL29" s="6">
        <f t="shared" si="6"/>
        <v>63198.02</v>
      </c>
      <c r="BM29" s="6">
        <f t="shared" si="6"/>
        <v>63198.02</v>
      </c>
      <c r="BN29" s="6">
        <f t="shared" ref="BN29:CA29" si="7">SUM(BN20,BN27,BN21:BN23,BN28)</f>
        <v>63198.02</v>
      </c>
      <c r="BO29" s="6">
        <f t="shared" si="7"/>
        <v>26636.109999999997</v>
      </c>
      <c r="BP29" s="6">
        <f t="shared" si="7"/>
        <v>26636.109999999997</v>
      </c>
      <c r="BQ29" s="6">
        <f t="shared" si="7"/>
        <v>26636.109999999997</v>
      </c>
      <c r="BR29" s="6">
        <f t="shared" si="7"/>
        <v>26636.109999999997</v>
      </c>
      <c r="BS29" s="6">
        <f t="shared" si="7"/>
        <v>26636.109999999997</v>
      </c>
      <c r="BT29" s="6">
        <f t="shared" si="7"/>
        <v>26636.109999999997</v>
      </c>
      <c r="BU29" s="6">
        <f t="shared" si="7"/>
        <v>26636.109999999997</v>
      </c>
      <c r="BV29" s="6">
        <f t="shared" si="7"/>
        <v>26457.929999999997</v>
      </c>
      <c r="BW29" s="6">
        <f t="shared" si="7"/>
        <v>26457.929999999997</v>
      </c>
      <c r="BX29" s="6">
        <f t="shared" si="7"/>
        <v>26457.929999999997</v>
      </c>
      <c r="BY29" s="6">
        <f t="shared" si="7"/>
        <v>26457.929999999997</v>
      </c>
      <c r="BZ29" s="6">
        <f t="shared" si="7"/>
        <v>27007.929999999997</v>
      </c>
      <c r="CA29" s="6">
        <f t="shared" si="7"/>
        <v>27007.929999999997</v>
      </c>
    </row>
    <row r="30" spans="1:79" x14ac:dyDescent="0.3">
      <c r="A30" s="5" t="s">
        <v>220</v>
      </c>
      <c r="B30" s="6">
        <f t="shared" ref="B30:AG30" si="8">B13+SUM(B15)+B29</f>
        <v>288356.68000000005</v>
      </c>
      <c r="C30" s="6">
        <f t="shared" si="8"/>
        <v>278039.31</v>
      </c>
      <c r="D30" s="6">
        <f t="shared" si="8"/>
        <v>275802.92</v>
      </c>
      <c r="E30" s="6">
        <f t="shared" si="8"/>
        <v>276320.66000000003</v>
      </c>
      <c r="F30" s="6">
        <f t="shared" si="8"/>
        <v>275679.12000000005</v>
      </c>
      <c r="G30" s="6">
        <f t="shared" si="8"/>
        <v>260578.84000000003</v>
      </c>
      <c r="H30" s="6">
        <f t="shared" si="8"/>
        <v>266117.54000000004</v>
      </c>
      <c r="I30" s="6">
        <f t="shared" si="8"/>
        <v>339382.15</v>
      </c>
      <c r="J30" s="6">
        <f t="shared" si="8"/>
        <v>304640.33999999997</v>
      </c>
      <c r="K30" s="6">
        <f t="shared" si="8"/>
        <v>337285.95</v>
      </c>
      <c r="L30" s="6">
        <f t="shared" si="8"/>
        <v>374897.2</v>
      </c>
      <c r="M30" s="6">
        <f t="shared" si="8"/>
        <v>375566.65</v>
      </c>
      <c r="N30" s="6">
        <f t="shared" si="8"/>
        <v>341499.64</v>
      </c>
      <c r="O30" s="6">
        <f t="shared" si="8"/>
        <v>377934.1</v>
      </c>
      <c r="P30" s="6">
        <f t="shared" si="8"/>
        <v>431001.17000000004</v>
      </c>
      <c r="Q30" s="6">
        <f t="shared" si="8"/>
        <v>376594.01</v>
      </c>
      <c r="R30" s="6">
        <f t="shared" si="8"/>
        <v>422160.10000000009</v>
      </c>
      <c r="S30" s="6">
        <f t="shared" si="8"/>
        <v>371599.12000000005</v>
      </c>
      <c r="T30" s="6">
        <f t="shared" si="8"/>
        <v>370427.69</v>
      </c>
      <c r="U30" s="6">
        <f t="shared" si="8"/>
        <v>326673.21999999997</v>
      </c>
      <c r="V30" s="6">
        <f t="shared" si="8"/>
        <v>329856.8</v>
      </c>
      <c r="W30" s="6">
        <f t="shared" si="8"/>
        <v>328635.18</v>
      </c>
      <c r="X30" s="6">
        <f t="shared" si="8"/>
        <v>304124.27999999997</v>
      </c>
      <c r="Y30" s="6">
        <f t="shared" si="8"/>
        <v>389639.5</v>
      </c>
      <c r="Z30" s="6">
        <f t="shared" si="8"/>
        <v>361104.52999999997</v>
      </c>
      <c r="AA30" s="6">
        <f t="shared" si="8"/>
        <v>334206.94</v>
      </c>
      <c r="AB30" s="6">
        <f t="shared" si="8"/>
        <v>408944.96000000008</v>
      </c>
      <c r="AC30" s="6">
        <f t="shared" si="8"/>
        <v>393090.19</v>
      </c>
      <c r="AD30" s="6">
        <f t="shared" si="8"/>
        <v>413337.95000000007</v>
      </c>
      <c r="AE30" s="6">
        <f t="shared" si="8"/>
        <v>473793.13999999996</v>
      </c>
      <c r="AF30" s="6">
        <f t="shared" si="8"/>
        <v>440845.33999999997</v>
      </c>
      <c r="AG30" s="6">
        <f t="shared" si="8"/>
        <v>475998.38</v>
      </c>
      <c r="AH30" s="6">
        <f t="shared" ref="AH30:BM30" si="9">AH13+SUM(AH15)+AH29</f>
        <v>427518.07</v>
      </c>
      <c r="AI30" s="6">
        <f t="shared" si="9"/>
        <v>412914.79000000004</v>
      </c>
      <c r="AJ30" s="6">
        <f t="shared" si="9"/>
        <v>456778</v>
      </c>
      <c r="AK30" s="6">
        <f t="shared" si="9"/>
        <v>526480.54</v>
      </c>
      <c r="AL30" s="6">
        <f t="shared" si="9"/>
        <v>548095.62</v>
      </c>
      <c r="AM30" s="6">
        <f t="shared" si="9"/>
        <v>513728.84</v>
      </c>
      <c r="AN30" s="6">
        <f t="shared" si="9"/>
        <v>506331.13</v>
      </c>
      <c r="AO30" s="6">
        <f t="shared" si="9"/>
        <v>514274.10999999993</v>
      </c>
      <c r="AP30" s="6">
        <f t="shared" si="9"/>
        <v>635758.40999999992</v>
      </c>
      <c r="AQ30" s="6">
        <f t="shared" si="9"/>
        <v>626153.7300000001</v>
      </c>
      <c r="AR30" s="6">
        <f t="shared" si="9"/>
        <v>612738.60000000009</v>
      </c>
      <c r="AS30" s="6">
        <f t="shared" si="9"/>
        <v>641075.81999999995</v>
      </c>
      <c r="AT30" s="6">
        <f t="shared" si="9"/>
        <v>664932.62999999989</v>
      </c>
      <c r="AU30" s="6">
        <f t="shared" si="9"/>
        <v>633371.06999999995</v>
      </c>
      <c r="AV30" s="6">
        <f t="shared" si="9"/>
        <v>699348.91</v>
      </c>
      <c r="AW30" s="6">
        <f t="shared" si="9"/>
        <v>636332.36</v>
      </c>
      <c r="AX30" s="6">
        <f t="shared" si="9"/>
        <v>700367.48</v>
      </c>
      <c r="AY30" s="6">
        <f t="shared" si="9"/>
        <v>682421.33</v>
      </c>
      <c r="AZ30" s="6">
        <f t="shared" si="9"/>
        <v>672300.29</v>
      </c>
      <c r="BA30" s="6">
        <f t="shared" si="9"/>
        <v>883927.0199999999</v>
      </c>
      <c r="BB30" s="6">
        <f t="shared" si="9"/>
        <v>769946.72</v>
      </c>
      <c r="BC30" s="6">
        <f t="shared" si="9"/>
        <v>859046.13</v>
      </c>
      <c r="BD30" s="6">
        <f t="shared" si="9"/>
        <v>901476.04</v>
      </c>
      <c r="BE30" s="6">
        <f t="shared" si="9"/>
        <v>837353.53000000014</v>
      </c>
      <c r="BF30" s="6">
        <f t="shared" si="9"/>
        <v>756944.83</v>
      </c>
      <c r="BG30" s="6">
        <f t="shared" si="9"/>
        <v>667105.09</v>
      </c>
      <c r="BH30" s="6">
        <f t="shared" si="9"/>
        <v>605704.91999999993</v>
      </c>
      <c r="BI30" s="6">
        <f t="shared" si="9"/>
        <v>565751.55000000005</v>
      </c>
      <c r="BJ30" s="6">
        <f t="shared" si="9"/>
        <v>474062.31</v>
      </c>
      <c r="BK30" s="6">
        <f t="shared" si="9"/>
        <v>415247.23000000004</v>
      </c>
      <c r="BL30" s="6">
        <f t="shared" si="9"/>
        <v>447079.64</v>
      </c>
      <c r="BM30" s="6">
        <f t="shared" si="9"/>
        <v>410819.02</v>
      </c>
      <c r="BN30" s="6">
        <f t="shared" ref="BN30:CA30" si="10">BN13+SUM(BN15)+BN29</f>
        <v>408060.22000000003</v>
      </c>
      <c r="BO30" s="6">
        <f t="shared" si="10"/>
        <v>375579.81</v>
      </c>
      <c r="BP30" s="6">
        <f t="shared" si="10"/>
        <v>325009.33999999997</v>
      </c>
      <c r="BQ30" s="6">
        <f t="shared" si="10"/>
        <v>366884.82999999996</v>
      </c>
      <c r="BR30" s="6">
        <f t="shared" si="10"/>
        <v>392650.03</v>
      </c>
      <c r="BS30" s="6">
        <f t="shared" si="10"/>
        <v>452407.97</v>
      </c>
      <c r="BT30" s="6">
        <f t="shared" si="10"/>
        <v>454540.22</v>
      </c>
      <c r="BU30" s="6">
        <f t="shared" si="10"/>
        <v>445077.13</v>
      </c>
      <c r="BV30" s="6">
        <f t="shared" si="10"/>
        <v>473391.61000000004</v>
      </c>
      <c r="BW30" s="6">
        <f t="shared" si="10"/>
        <v>469232.91000000003</v>
      </c>
      <c r="BX30" s="6">
        <f t="shared" si="10"/>
        <v>524055.74000000005</v>
      </c>
      <c r="BY30" s="6">
        <f t="shared" si="10"/>
        <v>495170.79</v>
      </c>
      <c r="BZ30" s="6">
        <f t="shared" si="10"/>
        <v>530522.78</v>
      </c>
      <c r="CA30" s="6">
        <f t="shared" si="10"/>
        <v>566515.1100000001</v>
      </c>
    </row>
    <row r="31" spans="1:79" x14ac:dyDescent="0.3">
      <c r="A31" s="5" t="s">
        <v>221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</row>
    <row r="32" spans="1:79" x14ac:dyDescent="0.3">
      <c r="A32" s="12" t="s">
        <v>222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3080</v>
      </c>
      <c r="AA32" s="10">
        <v>3080</v>
      </c>
      <c r="AB32" s="10">
        <v>3080</v>
      </c>
      <c r="AC32" s="10">
        <v>3080</v>
      </c>
      <c r="AD32" s="10">
        <v>3080</v>
      </c>
      <c r="AE32" s="10">
        <v>3080</v>
      </c>
      <c r="AF32" s="10">
        <v>3080</v>
      </c>
      <c r="AG32" s="10">
        <v>6322.54</v>
      </c>
      <c r="AH32" s="10">
        <v>6322.54</v>
      </c>
      <c r="AI32" s="10">
        <v>6322.54</v>
      </c>
      <c r="AJ32" s="10">
        <v>6397.54</v>
      </c>
      <c r="AK32" s="10">
        <v>6472.54</v>
      </c>
      <c r="AL32" s="10">
        <v>6472.54</v>
      </c>
      <c r="AM32" s="10">
        <v>6472.54</v>
      </c>
      <c r="AN32" s="10">
        <v>6472.54</v>
      </c>
      <c r="AO32" s="10">
        <v>6472.54</v>
      </c>
      <c r="AP32" s="10">
        <v>6472.54</v>
      </c>
      <c r="AQ32" s="10">
        <v>6472.54</v>
      </c>
      <c r="AR32" s="10">
        <v>6472.54</v>
      </c>
      <c r="AS32" s="10">
        <v>6472.54</v>
      </c>
      <c r="AT32" s="10">
        <v>6472.54</v>
      </c>
      <c r="AU32" s="10">
        <v>6472.54</v>
      </c>
      <c r="AV32" s="10">
        <v>6472.54</v>
      </c>
      <c r="AW32" s="10">
        <v>6472.54</v>
      </c>
      <c r="AX32" s="10">
        <v>6472.54</v>
      </c>
      <c r="AY32" s="10">
        <v>6472.54</v>
      </c>
      <c r="AZ32" s="10">
        <v>6472.54</v>
      </c>
      <c r="BA32" s="10">
        <v>6472.54</v>
      </c>
      <c r="BB32" s="10">
        <v>6472.54</v>
      </c>
      <c r="BC32" s="10">
        <v>6472.54</v>
      </c>
      <c r="BD32" s="10">
        <v>6472.54</v>
      </c>
      <c r="BE32" s="10">
        <v>6472.54</v>
      </c>
      <c r="BF32" s="10">
        <v>6472.54</v>
      </c>
      <c r="BG32" s="10">
        <v>6472.54</v>
      </c>
      <c r="BH32" s="10">
        <v>6472.54</v>
      </c>
      <c r="BI32" s="10">
        <v>6472.54</v>
      </c>
      <c r="BJ32" s="10">
        <v>6472.54</v>
      </c>
      <c r="BK32" s="10">
        <v>6472.54</v>
      </c>
      <c r="BL32" s="10">
        <v>6472.54</v>
      </c>
      <c r="BM32" s="10">
        <v>6472.54</v>
      </c>
      <c r="BN32" s="10">
        <v>6472.54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</row>
    <row r="33" spans="1:79" x14ac:dyDescent="0.3">
      <c r="A33" s="12" t="s">
        <v>223</v>
      </c>
      <c r="B33" s="10">
        <v>976.36</v>
      </c>
      <c r="C33" s="10">
        <v>976.36</v>
      </c>
      <c r="D33" s="10">
        <v>976.36</v>
      </c>
      <c r="E33" s="10">
        <v>976.36</v>
      </c>
      <c r="F33" s="10">
        <v>976.36</v>
      </c>
      <c r="G33" s="10">
        <v>1403.63</v>
      </c>
      <c r="H33" s="10">
        <v>1403.63</v>
      </c>
      <c r="I33" s="10">
        <v>1403.63</v>
      </c>
      <c r="J33" s="10">
        <v>1403.63</v>
      </c>
      <c r="K33" s="10">
        <v>1403.63</v>
      </c>
      <c r="L33" s="10">
        <v>1403.63</v>
      </c>
      <c r="M33" s="10">
        <v>1403.63</v>
      </c>
      <c r="N33" s="10">
        <v>1403.63</v>
      </c>
      <c r="O33" s="10">
        <v>1403.63</v>
      </c>
      <c r="P33" s="10">
        <v>1403.63</v>
      </c>
      <c r="Q33" s="10">
        <v>1403.63</v>
      </c>
      <c r="R33" s="10">
        <v>1403.63</v>
      </c>
      <c r="S33" s="10">
        <v>1403.63</v>
      </c>
      <c r="T33" s="10">
        <v>1403.63</v>
      </c>
      <c r="U33" s="10">
        <v>1403.63</v>
      </c>
      <c r="V33" s="10">
        <v>1403.63</v>
      </c>
      <c r="W33" s="10">
        <v>1403.63</v>
      </c>
      <c r="X33" s="10">
        <v>1403.63</v>
      </c>
      <c r="Y33" s="10">
        <v>1403.63</v>
      </c>
      <c r="Z33" s="10">
        <v>2398.1799999999998</v>
      </c>
      <c r="AA33" s="10">
        <v>2398.1799999999998</v>
      </c>
      <c r="AB33" s="10">
        <v>2398.1799999999998</v>
      </c>
      <c r="AC33" s="10">
        <v>2398.1799999999998</v>
      </c>
      <c r="AD33" s="10">
        <v>2398.1799999999998</v>
      </c>
      <c r="AE33" s="10">
        <v>2398.1799999999998</v>
      </c>
      <c r="AF33" s="10">
        <v>2398.1799999999998</v>
      </c>
      <c r="AG33" s="10">
        <v>2398.1799999999998</v>
      </c>
      <c r="AH33" s="10">
        <v>2398.1799999999998</v>
      </c>
      <c r="AI33" s="10">
        <v>2398.1799999999998</v>
      </c>
      <c r="AJ33" s="10">
        <v>2398.1799999999998</v>
      </c>
      <c r="AK33" s="10">
        <v>2398.1799999999998</v>
      </c>
      <c r="AL33" s="10">
        <v>2398.1799999999998</v>
      </c>
      <c r="AM33" s="10">
        <v>4976.37</v>
      </c>
      <c r="AN33" s="10">
        <v>4976.37</v>
      </c>
      <c r="AO33" s="10">
        <v>4976.37</v>
      </c>
      <c r="AP33" s="10">
        <v>4976.37</v>
      </c>
      <c r="AQ33" s="10">
        <v>4976.37</v>
      </c>
      <c r="AR33" s="10">
        <v>4976.37</v>
      </c>
      <c r="AS33" s="10">
        <v>4976.37</v>
      </c>
      <c r="AT33" s="10">
        <v>4976.37</v>
      </c>
      <c r="AU33" s="10">
        <v>4976.37</v>
      </c>
      <c r="AV33" s="10">
        <v>4976.37</v>
      </c>
      <c r="AW33" s="10">
        <v>4976.37</v>
      </c>
      <c r="AX33" s="10">
        <v>4976.37</v>
      </c>
      <c r="AY33" s="10">
        <v>5686.51</v>
      </c>
      <c r="AZ33" s="10">
        <v>5767.37</v>
      </c>
      <c r="BA33" s="10">
        <v>5767.37</v>
      </c>
      <c r="BB33" s="10">
        <v>5767.37</v>
      </c>
      <c r="BC33" s="10">
        <v>5767.37</v>
      </c>
      <c r="BD33" s="10">
        <v>5767.37</v>
      </c>
      <c r="BE33" s="10">
        <v>5767.37</v>
      </c>
      <c r="BF33" s="10">
        <v>5767.37</v>
      </c>
      <c r="BG33" s="10">
        <v>5767.37</v>
      </c>
      <c r="BH33" s="10">
        <v>5767.37</v>
      </c>
      <c r="BI33" s="10">
        <v>5767.37</v>
      </c>
      <c r="BJ33" s="10">
        <v>5767.37</v>
      </c>
      <c r="BK33" s="10">
        <v>5767.37</v>
      </c>
      <c r="BL33" s="10">
        <v>9036.41</v>
      </c>
      <c r="BM33" s="10">
        <v>9036.41</v>
      </c>
      <c r="BN33" s="10">
        <v>9036.41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</row>
    <row r="34" spans="1:79" x14ac:dyDescent="0.3">
      <c r="A34" s="12" t="s">
        <v>224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-151994.49</v>
      </c>
      <c r="BP34" s="10">
        <v>-151994.49</v>
      </c>
      <c r="BQ34" s="10">
        <v>-151994.49</v>
      </c>
      <c r="BR34" s="10">
        <v>-151994.49</v>
      </c>
      <c r="BS34" s="10">
        <v>-151994.49</v>
      </c>
      <c r="BT34" s="10">
        <v>-151994.49</v>
      </c>
      <c r="BU34" s="10">
        <v>-151994.49</v>
      </c>
      <c r="BV34" s="10">
        <v>-151994.49</v>
      </c>
      <c r="BW34" s="10">
        <v>-151994.49</v>
      </c>
      <c r="BX34" s="10">
        <v>-151994.49</v>
      </c>
      <c r="BY34" s="10">
        <v>-151994.49</v>
      </c>
      <c r="BZ34" s="10">
        <v>-151994.49</v>
      </c>
      <c r="CA34" s="10">
        <v>-151994.49</v>
      </c>
    </row>
    <row r="35" spans="1:79" x14ac:dyDescent="0.3">
      <c r="A35" s="12" t="s">
        <v>225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478913.21</v>
      </c>
      <c r="BP35" s="10">
        <v>478913.21</v>
      </c>
      <c r="BQ35" s="10">
        <v>478913.21</v>
      </c>
      <c r="BR35" s="10">
        <v>478913.21</v>
      </c>
      <c r="BS35" s="10">
        <v>522748.8</v>
      </c>
      <c r="BT35" s="10">
        <v>522748.8</v>
      </c>
      <c r="BU35" s="10">
        <v>522748.8</v>
      </c>
      <c r="BV35" s="10">
        <v>522748.8</v>
      </c>
      <c r="BW35" s="10">
        <v>522748.8</v>
      </c>
      <c r="BX35" s="10">
        <v>522748.8</v>
      </c>
      <c r="BY35" s="10">
        <v>522748.8</v>
      </c>
      <c r="BZ35" s="10">
        <v>522748.8</v>
      </c>
      <c r="CA35" s="10">
        <v>522748.8</v>
      </c>
    </row>
    <row r="36" spans="1:79" x14ac:dyDescent="0.3">
      <c r="A36" s="7" t="s">
        <v>226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</row>
    <row r="37" spans="1:79" x14ac:dyDescent="0.3">
      <c r="A37" s="9" t="s">
        <v>227</v>
      </c>
      <c r="B37" s="10">
        <v>0</v>
      </c>
      <c r="C37" s="10">
        <v>0</v>
      </c>
      <c r="D37" s="10">
        <v>28960.720000000001</v>
      </c>
      <c r="E37" s="10">
        <v>28960.720000000001</v>
      </c>
      <c r="F37" s="10">
        <v>28960.720000000001</v>
      </c>
      <c r="G37" s="10">
        <v>28960.720000000001</v>
      </c>
      <c r="H37" s="10">
        <v>28960.720000000001</v>
      </c>
      <c r="I37" s="10">
        <v>28960.720000000001</v>
      </c>
      <c r="J37" s="10">
        <v>28960.720000000001</v>
      </c>
      <c r="K37" s="10">
        <v>28960.720000000001</v>
      </c>
      <c r="L37" s="10">
        <v>28960.720000000001</v>
      </c>
      <c r="M37" s="10">
        <v>28960.720000000001</v>
      </c>
      <c r="N37" s="10">
        <v>28960.720000000001</v>
      </c>
      <c r="O37" s="10">
        <v>28960.720000000001</v>
      </c>
      <c r="P37" s="10">
        <v>28960.720000000001</v>
      </c>
      <c r="Q37" s="10">
        <v>28960.720000000001</v>
      </c>
      <c r="R37" s="10">
        <v>28960.720000000001</v>
      </c>
      <c r="S37" s="10">
        <v>28960.720000000001</v>
      </c>
      <c r="T37" s="10">
        <v>28960.720000000001</v>
      </c>
      <c r="U37" s="10">
        <v>28960.720000000001</v>
      </c>
      <c r="V37" s="10">
        <v>28960.720000000001</v>
      </c>
      <c r="W37" s="10">
        <v>28960.720000000001</v>
      </c>
      <c r="X37" s="10">
        <v>28960.720000000001</v>
      </c>
      <c r="Y37" s="10">
        <v>28960.720000000001</v>
      </c>
      <c r="Z37" s="10">
        <v>28960.720000000001</v>
      </c>
      <c r="AA37" s="10">
        <v>28960.720000000001</v>
      </c>
      <c r="AB37" s="10">
        <v>28960.720000000001</v>
      </c>
      <c r="AC37" s="10">
        <v>28960.720000000001</v>
      </c>
      <c r="AD37" s="10">
        <v>28960.720000000001</v>
      </c>
      <c r="AE37" s="10">
        <v>28960.720000000001</v>
      </c>
      <c r="AF37" s="10">
        <v>28960.720000000001</v>
      </c>
      <c r="AG37" s="10">
        <v>28960.720000000001</v>
      </c>
      <c r="AH37" s="10">
        <v>28960.720000000001</v>
      </c>
      <c r="AI37" s="10">
        <v>28960.720000000001</v>
      </c>
      <c r="AJ37" s="10">
        <v>28960.720000000001</v>
      </c>
      <c r="AK37" s="10">
        <v>28960.720000000001</v>
      </c>
      <c r="AL37" s="10">
        <v>28960.720000000001</v>
      </c>
      <c r="AM37" s="10">
        <v>28960.720000000001</v>
      </c>
      <c r="AN37" s="10">
        <v>28960.720000000001</v>
      </c>
      <c r="AO37" s="10">
        <v>28960.720000000001</v>
      </c>
      <c r="AP37" s="10">
        <v>28960.720000000001</v>
      </c>
      <c r="AQ37" s="10">
        <v>28960.720000000001</v>
      </c>
      <c r="AR37" s="10">
        <v>28960.720000000001</v>
      </c>
      <c r="AS37" s="10">
        <v>28960.720000000001</v>
      </c>
      <c r="AT37" s="10">
        <v>28960.720000000001</v>
      </c>
      <c r="AU37" s="10">
        <v>28960.720000000001</v>
      </c>
      <c r="AV37" s="10">
        <v>28960.720000000001</v>
      </c>
      <c r="AW37" s="10">
        <v>28960.720000000001</v>
      </c>
      <c r="AX37" s="10">
        <v>28960.720000000001</v>
      </c>
      <c r="AY37" s="10">
        <v>28960.720000000001</v>
      </c>
      <c r="AZ37" s="10">
        <v>28960.720000000001</v>
      </c>
      <c r="BA37" s="10">
        <v>28960.720000000001</v>
      </c>
      <c r="BB37" s="10">
        <v>28960.720000000001</v>
      </c>
      <c r="BC37" s="10">
        <v>28960.720000000001</v>
      </c>
      <c r="BD37" s="10">
        <v>28960.720000000001</v>
      </c>
      <c r="BE37" s="10">
        <v>28960.720000000001</v>
      </c>
      <c r="BF37" s="10">
        <v>28960.720000000001</v>
      </c>
      <c r="BG37" s="10">
        <v>28960.720000000001</v>
      </c>
      <c r="BH37" s="10">
        <v>28960.720000000001</v>
      </c>
      <c r="BI37" s="10">
        <v>28960.720000000001</v>
      </c>
      <c r="BJ37" s="10">
        <v>28960.720000000001</v>
      </c>
      <c r="BK37" s="10">
        <v>28960.720000000001</v>
      </c>
      <c r="BL37" s="10">
        <v>28960.720000000001</v>
      </c>
      <c r="BM37" s="10">
        <v>28960.720000000001</v>
      </c>
      <c r="BN37" s="10">
        <v>28960.720000000001</v>
      </c>
      <c r="BO37" s="10">
        <v>0</v>
      </c>
      <c r="BP37" s="10">
        <v>135.52000000000001</v>
      </c>
      <c r="BQ37" s="10">
        <v>659.52</v>
      </c>
      <c r="BR37" s="10">
        <v>659.52</v>
      </c>
      <c r="BS37" s="10">
        <v>659.52</v>
      </c>
      <c r="BT37" s="10">
        <v>659.52</v>
      </c>
      <c r="BU37" s="10">
        <v>659.52</v>
      </c>
      <c r="BV37" s="10">
        <v>659.52</v>
      </c>
      <c r="BW37" s="10">
        <v>659.52</v>
      </c>
      <c r="BX37" s="10">
        <v>659.52</v>
      </c>
      <c r="BY37" s="10">
        <v>659.52</v>
      </c>
      <c r="BZ37" s="10">
        <v>659.52</v>
      </c>
      <c r="CA37" s="10">
        <v>659.52</v>
      </c>
    </row>
    <row r="38" spans="1:79" x14ac:dyDescent="0.3">
      <c r="A38" s="9" t="s">
        <v>228</v>
      </c>
      <c r="B38" s="10">
        <v>0</v>
      </c>
      <c r="C38" s="10">
        <v>0</v>
      </c>
      <c r="D38" s="10">
        <v>4006.6</v>
      </c>
      <c r="E38" s="10">
        <v>4006.6</v>
      </c>
      <c r="F38" s="10">
        <v>4006.6</v>
      </c>
      <c r="G38" s="10">
        <v>4006.6</v>
      </c>
      <c r="H38" s="10">
        <v>4006.6</v>
      </c>
      <c r="I38" s="10">
        <v>4006.6</v>
      </c>
      <c r="J38" s="10">
        <v>4006.6</v>
      </c>
      <c r="K38" s="10">
        <v>4006.6</v>
      </c>
      <c r="L38" s="10">
        <v>4006.6</v>
      </c>
      <c r="M38" s="10">
        <v>4006.6</v>
      </c>
      <c r="N38" s="10">
        <v>4006.6</v>
      </c>
      <c r="O38" s="10">
        <v>4006.6</v>
      </c>
      <c r="P38" s="10">
        <v>4006.6</v>
      </c>
      <c r="Q38" s="10">
        <v>4006.6</v>
      </c>
      <c r="R38" s="10">
        <v>4006.6</v>
      </c>
      <c r="S38" s="10">
        <v>4006.6</v>
      </c>
      <c r="T38" s="10">
        <v>4006.6</v>
      </c>
      <c r="U38" s="10">
        <v>4006.6</v>
      </c>
      <c r="V38" s="10">
        <v>4006.6</v>
      </c>
      <c r="W38" s="10">
        <v>4006.6</v>
      </c>
      <c r="X38" s="10">
        <v>4006.6</v>
      </c>
      <c r="Y38" s="10">
        <v>4006.6</v>
      </c>
      <c r="Z38" s="10">
        <v>4006.6</v>
      </c>
      <c r="AA38" s="10">
        <v>4006.6</v>
      </c>
      <c r="AB38" s="10">
        <v>4006.6</v>
      </c>
      <c r="AC38" s="10">
        <v>4006.6</v>
      </c>
      <c r="AD38" s="10">
        <v>4006.6</v>
      </c>
      <c r="AE38" s="10">
        <v>4006.6</v>
      </c>
      <c r="AF38" s="10">
        <v>4006.6</v>
      </c>
      <c r="AG38" s="10">
        <v>4006.6</v>
      </c>
      <c r="AH38" s="10">
        <v>4006.6</v>
      </c>
      <c r="AI38" s="10">
        <v>4006.6</v>
      </c>
      <c r="AJ38" s="10">
        <v>4006.6</v>
      </c>
      <c r="AK38" s="10">
        <v>4006.6</v>
      </c>
      <c r="AL38" s="10">
        <v>4006.6</v>
      </c>
      <c r="AM38" s="10">
        <v>4006.6</v>
      </c>
      <c r="AN38" s="10">
        <v>4006.6</v>
      </c>
      <c r="AO38" s="10">
        <v>4006.6</v>
      </c>
      <c r="AP38" s="10">
        <v>4006.6</v>
      </c>
      <c r="AQ38" s="10">
        <v>4006.6</v>
      </c>
      <c r="AR38" s="10">
        <v>4006.6</v>
      </c>
      <c r="AS38" s="10">
        <v>4006.6</v>
      </c>
      <c r="AT38" s="10">
        <v>4006.6</v>
      </c>
      <c r="AU38" s="10">
        <v>4006.6</v>
      </c>
      <c r="AV38" s="10">
        <v>4006.6</v>
      </c>
      <c r="AW38" s="10">
        <v>4006.6</v>
      </c>
      <c r="AX38" s="10">
        <v>4006.6</v>
      </c>
      <c r="AY38" s="10">
        <v>4006.6</v>
      </c>
      <c r="AZ38" s="10">
        <v>4006.6</v>
      </c>
      <c r="BA38" s="10">
        <v>4006.6</v>
      </c>
      <c r="BB38" s="10">
        <v>4006.6</v>
      </c>
      <c r="BC38" s="10">
        <v>4006.6</v>
      </c>
      <c r="BD38" s="10">
        <v>4006.6</v>
      </c>
      <c r="BE38" s="10">
        <v>4006.6</v>
      </c>
      <c r="BF38" s="10">
        <v>4006.6</v>
      </c>
      <c r="BG38" s="10">
        <v>4006.6</v>
      </c>
      <c r="BH38" s="10">
        <v>4006.6</v>
      </c>
      <c r="BI38" s="10">
        <v>4006.6</v>
      </c>
      <c r="BJ38" s="10">
        <v>4006.6</v>
      </c>
      <c r="BK38" s="10">
        <v>4006.6</v>
      </c>
      <c r="BL38" s="10">
        <v>4006.6</v>
      </c>
      <c r="BM38" s="10">
        <v>4006.6</v>
      </c>
      <c r="BN38" s="10">
        <v>4006.6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</row>
    <row r="39" spans="1:79" x14ac:dyDescent="0.3">
      <c r="A39" s="9" t="s">
        <v>229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53896.36</v>
      </c>
      <c r="H39" s="10">
        <v>55253.36</v>
      </c>
      <c r="I39" s="10">
        <v>55253.36</v>
      </c>
      <c r="J39" s="10">
        <v>55253.36</v>
      </c>
      <c r="K39" s="10">
        <v>55253.36</v>
      </c>
      <c r="L39" s="10">
        <v>55253.36</v>
      </c>
      <c r="M39" s="10">
        <v>55253.36</v>
      </c>
      <c r="N39" s="10">
        <v>55253.36</v>
      </c>
      <c r="O39" s="10">
        <v>55253.36</v>
      </c>
      <c r="P39" s="10">
        <v>55253.36</v>
      </c>
      <c r="Q39" s="10">
        <v>55253.36</v>
      </c>
      <c r="R39" s="10">
        <v>55253.36</v>
      </c>
      <c r="S39" s="10">
        <v>55253.36</v>
      </c>
      <c r="T39" s="10">
        <v>55253.36</v>
      </c>
      <c r="U39" s="10">
        <v>55253.36</v>
      </c>
      <c r="V39" s="10">
        <v>55253.36</v>
      </c>
      <c r="W39" s="10">
        <v>55253.36</v>
      </c>
      <c r="X39" s="10">
        <v>55253.36</v>
      </c>
      <c r="Y39" s="10">
        <v>55253.36</v>
      </c>
      <c r="Z39" s="10">
        <v>55253.36</v>
      </c>
      <c r="AA39" s="10">
        <v>55253.36</v>
      </c>
      <c r="AB39" s="10">
        <v>55253.36</v>
      </c>
      <c r="AC39" s="10">
        <v>55253.36</v>
      </c>
      <c r="AD39" s="10">
        <v>55253.36</v>
      </c>
      <c r="AE39" s="10">
        <v>55253.36</v>
      </c>
      <c r="AF39" s="10">
        <v>55253.36</v>
      </c>
      <c r="AG39" s="10">
        <v>55253.36</v>
      </c>
      <c r="AH39" s="10">
        <v>55253.36</v>
      </c>
      <c r="AI39" s="10">
        <v>55253.36</v>
      </c>
      <c r="AJ39" s="10">
        <v>55253.36</v>
      </c>
      <c r="AK39" s="10">
        <v>55253.36</v>
      </c>
      <c r="AL39" s="10">
        <v>55253.36</v>
      </c>
      <c r="AM39" s="10">
        <v>55253.36</v>
      </c>
      <c r="AN39" s="10">
        <v>55253.36</v>
      </c>
      <c r="AO39" s="10">
        <v>55253.36</v>
      </c>
      <c r="AP39" s="10">
        <v>55253.36</v>
      </c>
      <c r="AQ39" s="10">
        <v>55253.36</v>
      </c>
      <c r="AR39" s="10">
        <v>55253.36</v>
      </c>
      <c r="AS39" s="10">
        <v>55253.36</v>
      </c>
      <c r="AT39" s="10">
        <v>55253.36</v>
      </c>
      <c r="AU39" s="10">
        <v>55253.36</v>
      </c>
      <c r="AV39" s="10">
        <v>55253.36</v>
      </c>
      <c r="AW39" s="10">
        <v>55253.36</v>
      </c>
      <c r="AX39" s="10">
        <v>55253.36</v>
      </c>
      <c r="AY39" s="10">
        <v>55253.36</v>
      </c>
      <c r="AZ39" s="10">
        <v>55253.36</v>
      </c>
      <c r="BA39" s="10">
        <v>55253.36</v>
      </c>
      <c r="BB39" s="10">
        <v>55253.36</v>
      </c>
      <c r="BC39" s="10">
        <v>55253.36</v>
      </c>
      <c r="BD39" s="10">
        <v>55253.36</v>
      </c>
      <c r="BE39" s="10">
        <v>55253.36</v>
      </c>
      <c r="BF39" s="10">
        <v>55253.36</v>
      </c>
      <c r="BG39" s="10">
        <v>55253.36</v>
      </c>
      <c r="BH39" s="10">
        <v>55253.36</v>
      </c>
      <c r="BI39" s="10">
        <v>55253.36</v>
      </c>
      <c r="BJ39" s="10">
        <v>55253.36</v>
      </c>
      <c r="BK39" s="10">
        <v>55253.36</v>
      </c>
      <c r="BL39" s="10">
        <v>55253.36</v>
      </c>
      <c r="BM39" s="10">
        <v>55253.36</v>
      </c>
      <c r="BN39" s="10">
        <v>55253.36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</row>
    <row r="40" spans="1:79" x14ac:dyDescent="0.3">
      <c r="A40" s="9" t="s">
        <v>230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7982.4</v>
      </c>
      <c r="I40" s="10">
        <v>7982.4</v>
      </c>
      <c r="J40" s="10">
        <v>7982.4</v>
      </c>
      <c r="K40" s="10">
        <v>7982.4</v>
      </c>
      <c r="L40" s="10">
        <v>7982.4</v>
      </c>
      <c r="M40" s="10">
        <v>7982.4</v>
      </c>
      <c r="N40" s="10">
        <v>7982.4</v>
      </c>
      <c r="O40" s="10">
        <v>7982.4</v>
      </c>
      <c r="P40" s="10">
        <v>7982.4</v>
      </c>
      <c r="Q40" s="10">
        <v>7982.4</v>
      </c>
      <c r="R40" s="10">
        <v>7982.4</v>
      </c>
      <c r="S40" s="10">
        <v>7982.4</v>
      </c>
      <c r="T40" s="10">
        <v>7982.4</v>
      </c>
      <c r="U40" s="10">
        <v>7982.4</v>
      </c>
      <c r="V40" s="10">
        <v>7982.4</v>
      </c>
      <c r="W40" s="10">
        <v>7982.4</v>
      </c>
      <c r="X40" s="10">
        <v>7982.4</v>
      </c>
      <c r="Y40" s="10">
        <v>7982.4</v>
      </c>
      <c r="Z40" s="10">
        <v>7982.4</v>
      </c>
      <c r="AA40" s="10">
        <v>7982.4</v>
      </c>
      <c r="AB40" s="10">
        <v>7982.4</v>
      </c>
      <c r="AC40" s="10">
        <v>7982.4</v>
      </c>
      <c r="AD40" s="10">
        <v>7982.4</v>
      </c>
      <c r="AE40" s="10">
        <v>7982.4</v>
      </c>
      <c r="AF40" s="10">
        <v>7982.4</v>
      </c>
      <c r="AG40" s="10">
        <v>7982.4</v>
      </c>
      <c r="AH40" s="10">
        <v>7982.4</v>
      </c>
      <c r="AI40" s="10">
        <v>7982.4</v>
      </c>
      <c r="AJ40" s="10">
        <v>7982.4</v>
      </c>
      <c r="AK40" s="10">
        <v>7982.4</v>
      </c>
      <c r="AL40" s="10">
        <v>7982.4</v>
      </c>
      <c r="AM40" s="10">
        <v>7982.4</v>
      </c>
      <c r="AN40" s="10">
        <v>7982.4</v>
      </c>
      <c r="AO40" s="10">
        <v>7982.4</v>
      </c>
      <c r="AP40" s="10">
        <v>7982.4</v>
      </c>
      <c r="AQ40" s="10">
        <v>7982.4</v>
      </c>
      <c r="AR40" s="10">
        <v>7982.4</v>
      </c>
      <c r="AS40" s="10">
        <v>7982.4</v>
      </c>
      <c r="AT40" s="10">
        <v>7982.4</v>
      </c>
      <c r="AU40" s="10">
        <v>7982.4</v>
      </c>
      <c r="AV40" s="10">
        <v>7982.4</v>
      </c>
      <c r="AW40" s="10">
        <v>7982.4</v>
      </c>
      <c r="AX40" s="10">
        <v>7982.4</v>
      </c>
      <c r="AY40" s="10">
        <v>7982.4</v>
      </c>
      <c r="AZ40" s="10">
        <v>7982.4</v>
      </c>
      <c r="BA40" s="10">
        <v>7982.4</v>
      </c>
      <c r="BB40" s="10">
        <v>7982.4</v>
      </c>
      <c r="BC40" s="10">
        <v>7982.4</v>
      </c>
      <c r="BD40" s="10">
        <v>7982.4</v>
      </c>
      <c r="BE40" s="10">
        <v>7982.4</v>
      </c>
      <c r="BF40" s="10">
        <v>7982.4</v>
      </c>
      <c r="BG40" s="10">
        <v>7982.4</v>
      </c>
      <c r="BH40" s="10">
        <v>7982.4</v>
      </c>
      <c r="BI40" s="10">
        <v>7982.4</v>
      </c>
      <c r="BJ40" s="10">
        <v>7982.4</v>
      </c>
      <c r="BK40" s="10">
        <v>7982.4</v>
      </c>
      <c r="BL40" s="10">
        <v>7982.4</v>
      </c>
      <c r="BM40" s="10">
        <v>7982.4</v>
      </c>
      <c r="BN40" s="10">
        <v>7982.4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</row>
    <row r="41" spans="1:79" x14ac:dyDescent="0.3">
      <c r="A41" s="9" t="s">
        <v>231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29545.45</v>
      </c>
      <c r="P41" s="10">
        <v>29545.45</v>
      </c>
      <c r="Q41" s="10">
        <v>29545.45</v>
      </c>
      <c r="R41" s="10">
        <v>29545.45</v>
      </c>
      <c r="S41" s="10">
        <v>29545.45</v>
      </c>
      <c r="T41" s="10">
        <v>29545.45</v>
      </c>
      <c r="U41" s="10">
        <v>29545.45</v>
      </c>
      <c r="V41" s="10">
        <v>29545.45</v>
      </c>
      <c r="W41" s="10">
        <v>29545.45</v>
      </c>
      <c r="X41" s="10">
        <v>29545.45</v>
      </c>
      <c r="Y41" s="10">
        <v>29545.45</v>
      </c>
      <c r="Z41" s="10">
        <v>29545.45</v>
      </c>
      <c r="AA41" s="10">
        <v>29545.45</v>
      </c>
      <c r="AB41" s="10">
        <v>29545.45</v>
      </c>
      <c r="AC41" s="10">
        <v>29545.45</v>
      </c>
      <c r="AD41" s="10">
        <v>29545.45</v>
      </c>
      <c r="AE41" s="10">
        <v>29545.45</v>
      </c>
      <c r="AF41" s="10">
        <v>29545.45</v>
      </c>
      <c r="AG41" s="10">
        <v>29545.45</v>
      </c>
      <c r="AH41" s="10">
        <v>29545.45</v>
      </c>
      <c r="AI41" s="10">
        <v>29545.45</v>
      </c>
      <c r="AJ41" s="10">
        <v>29545.45</v>
      </c>
      <c r="AK41" s="10">
        <v>29545.45</v>
      </c>
      <c r="AL41" s="10">
        <v>29545.45</v>
      </c>
      <c r="AM41" s="10">
        <v>29545.45</v>
      </c>
      <c r="AN41" s="10">
        <v>29545.45</v>
      </c>
      <c r="AO41" s="10">
        <v>29545.45</v>
      </c>
      <c r="AP41" s="10">
        <v>29545.45</v>
      </c>
      <c r="AQ41" s="10">
        <v>29545.45</v>
      </c>
      <c r="AR41" s="10">
        <v>29545.45</v>
      </c>
      <c r="AS41" s="10">
        <v>29545.45</v>
      </c>
      <c r="AT41" s="10">
        <v>29545.45</v>
      </c>
      <c r="AU41" s="10">
        <v>29545.45</v>
      </c>
      <c r="AV41" s="10">
        <v>29545.45</v>
      </c>
      <c r="AW41" s="10">
        <v>29545.45</v>
      </c>
      <c r="AX41" s="10">
        <v>29545.45</v>
      </c>
      <c r="AY41" s="10">
        <v>29545.45</v>
      </c>
      <c r="AZ41" s="10">
        <v>29545.45</v>
      </c>
      <c r="BA41" s="10">
        <v>29545.45</v>
      </c>
      <c r="BB41" s="10">
        <v>29545.45</v>
      </c>
      <c r="BC41" s="10">
        <v>29545.45</v>
      </c>
      <c r="BD41" s="10">
        <v>29545.45</v>
      </c>
      <c r="BE41" s="10">
        <v>29545.45</v>
      </c>
      <c r="BF41" s="10">
        <v>29545.45</v>
      </c>
      <c r="BG41" s="10">
        <v>29545.45</v>
      </c>
      <c r="BH41" s="10">
        <v>29545.45</v>
      </c>
      <c r="BI41" s="10">
        <v>29545.45</v>
      </c>
      <c r="BJ41" s="10">
        <v>29545.45</v>
      </c>
      <c r="BK41" s="10">
        <v>29545.45</v>
      </c>
      <c r="BL41" s="10">
        <v>29545.45</v>
      </c>
      <c r="BM41" s="10">
        <v>29545.45</v>
      </c>
      <c r="BN41" s="10">
        <v>29545.45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</row>
    <row r="42" spans="1:79" x14ac:dyDescent="0.3">
      <c r="A42" s="9" t="s">
        <v>232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2910.2</v>
      </c>
      <c r="P42" s="10">
        <v>2910.2</v>
      </c>
      <c r="Q42" s="10">
        <v>2910.2</v>
      </c>
      <c r="R42" s="10">
        <v>2910.2</v>
      </c>
      <c r="S42" s="10">
        <v>2910.2</v>
      </c>
      <c r="T42" s="10">
        <v>2910.2</v>
      </c>
      <c r="U42" s="10">
        <v>2910.2</v>
      </c>
      <c r="V42" s="10">
        <v>2910.2</v>
      </c>
      <c r="W42" s="10">
        <v>2910.2</v>
      </c>
      <c r="X42" s="10">
        <v>2910.2</v>
      </c>
      <c r="Y42" s="10">
        <v>2910.2</v>
      </c>
      <c r="Z42" s="10">
        <v>2910.2</v>
      </c>
      <c r="AA42" s="10">
        <v>2910.2</v>
      </c>
      <c r="AB42" s="10">
        <v>2910.2</v>
      </c>
      <c r="AC42" s="10">
        <v>2910.2</v>
      </c>
      <c r="AD42" s="10">
        <v>2910.2</v>
      </c>
      <c r="AE42" s="10">
        <v>2910.2</v>
      </c>
      <c r="AF42" s="10">
        <v>2910.2</v>
      </c>
      <c r="AG42" s="10">
        <v>2910.2</v>
      </c>
      <c r="AH42" s="10">
        <v>2910.2</v>
      </c>
      <c r="AI42" s="10">
        <v>2910.2</v>
      </c>
      <c r="AJ42" s="10">
        <v>2910.2</v>
      </c>
      <c r="AK42" s="10">
        <v>2910.2</v>
      </c>
      <c r="AL42" s="10">
        <v>2910.2</v>
      </c>
      <c r="AM42" s="10">
        <v>2910.2</v>
      </c>
      <c r="AN42" s="10">
        <v>2910.2</v>
      </c>
      <c r="AO42" s="10">
        <v>2910.2</v>
      </c>
      <c r="AP42" s="10">
        <v>2910.2</v>
      </c>
      <c r="AQ42" s="10">
        <v>2910.2</v>
      </c>
      <c r="AR42" s="10">
        <v>2910.2</v>
      </c>
      <c r="AS42" s="10">
        <v>2910.2</v>
      </c>
      <c r="AT42" s="10">
        <v>2910.2</v>
      </c>
      <c r="AU42" s="10">
        <v>2910.2</v>
      </c>
      <c r="AV42" s="10">
        <v>2910.2</v>
      </c>
      <c r="AW42" s="10">
        <v>2910.2</v>
      </c>
      <c r="AX42" s="10">
        <v>2910.2</v>
      </c>
      <c r="AY42" s="10">
        <v>2910.2</v>
      </c>
      <c r="AZ42" s="10">
        <v>2910.2</v>
      </c>
      <c r="BA42" s="10">
        <v>2910.2</v>
      </c>
      <c r="BB42" s="10">
        <v>2910.2</v>
      </c>
      <c r="BC42" s="10">
        <v>2910.2</v>
      </c>
      <c r="BD42" s="10">
        <v>2910.2</v>
      </c>
      <c r="BE42" s="10">
        <v>2910.2</v>
      </c>
      <c r="BF42" s="10">
        <v>2910.2</v>
      </c>
      <c r="BG42" s="10">
        <v>2910.2</v>
      </c>
      <c r="BH42" s="10">
        <v>2910.2</v>
      </c>
      <c r="BI42" s="10">
        <v>2910.2</v>
      </c>
      <c r="BJ42" s="10">
        <v>2910.2</v>
      </c>
      <c r="BK42" s="10">
        <v>2910.2</v>
      </c>
      <c r="BL42" s="10">
        <v>2910.2</v>
      </c>
      <c r="BM42" s="10">
        <v>2910.2</v>
      </c>
      <c r="BN42" s="10">
        <v>2910.2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</row>
    <row r="43" spans="1:79" x14ac:dyDescent="0.3">
      <c r="A43" s="9" t="s">
        <v>233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43909.09</v>
      </c>
      <c r="S43" s="10">
        <v>44363.64</v>
      </c>
      <c r="T43" s="10">
        <v>44363.64</v>
      </c>
      <c r="U43" s="10">
        <v>44363.64</v>
      </c>
      <c r="V43" s="10">
        <v>44363.64</v>
      </c>
      <c r="W43" s="10">
        <v>44363.64</v>
      </c>
      <c r="X43" s="10">
        <v>44363.64</v>
      </c>
      <c r="Y43" s="10">
        <v>44363.64</v>
      </c>
      <c r="Z43" s="10">
        <v>44363.64</v>
      </c>
      <c r="AA43" s="10">
        <v>44363.64</v>
      </c>
      <c r="AB43" s="10">
        <v>44363.64</v>
      </c>
      <c r="AC43" s="10">
        <v>44363.64</v>
      </c>
      <c r="AD43" s="10">
        <v>44363.64</v>
      </c>
      <c r="AE43" s="10">
        <v>44363.64</v>
      </c>
      <c r="AF43" s="10">
        <v>44363.64</v>
      </c>
      <c r="AG43" s="10">
        <v>44363.64</v>
      </c>
      <c r="AH43" s="10">
        <v>44363.64</v>
      </c>
      <c r="AI43" s="10">
        <v>44363.64</v>
      </c>
      <c r="AJ43" s="10">
        <v>44363.64</v>
      </c>
      <c r="AK43" s="10">
        <v>44363.64</v>
      </c>
      <c r="AL43" s="10">
        <v>44363.64</v>
      </c>
      <c r="AM43" s="10">
        <v>44363.64</v>
      </c>
      <c r="AN43" s="10">
        <v>44363.64</v>
      </c>
      <c r="AO43" s="10">
        <v>44363.64</v>
      </c>
      <c r="AP43" s="10">
        <v>44363.64</v>
      </c>
      <c r="AQ43" s="10">
        <v>44363.64</v>
      </c>
      <c r="AR43" s="10">
        <v>44363.64</v>
      </c>
      <c r="AS43" s="10">
        <v>44363.64</v>
      </c>
      <c r="AT43" s="10">
        <v>44363.64</v>
      </c>
      <c r="AU43" s="10">
        <v>44363.64</v>
      </c>
      <c r="AV43" s="10">
        <v>44363.64</v>
      </c>
      <c r="AW43" s="10">
        <v>44363.64</v>
      </c>
      <c r="AX43" s="10">
        <v>44363.64</v>
      </c>
      <c r="AY43" s="10">
        <v>44363.64</v>
      </c>
      <c r="AZ43" s="10">
        <v>44363.64</v>
      </c>
      <c r="BA43" s="10">
        <v>44363.64</v>
      </c>
      <c r="BB43" s="10">
        <v>44363.64</v>
      </c>
      <c r="BC43" s="10">
        <v>44363.64</v>
      </c>
      <c r="BD43" s="10">
        <v>44363.64</v>
      </c>
      <c r="BE43" s="10">
        <v>44363.64</v>
      </c>
      <c r="BF43" s="10">
        <v>44363.64</v>
      </c>
      <c r="BG43" s="10">
        <v>44363.64</v>
      </c>
      <c r="BH43" s="10">
        <v>44363.64</v>
      </c>
      <c r="BI43" s="10">
        <v>44363.64</v>
      </c>
      <c r="BJ43" s="10">
        <v>44363.64</v>
      </c>
      <c r="BK43" s="10">
        <v>44363.64</v>
      </c>
      <c r="BL43" s="10">
        <v>44363.64</v>
      </c>
      <c r="BM43" s="10">
        <v>44363.64</v>
      </c>
      <c r="BN43" s="10">
        <v>44363.64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</row>
    <row r="44" spans="1:79" x14ac:dyDescent="0.3">
      <c r="A44" s="9" t="s">
        <v>234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10045.450000000001</v>
      </c>
      <c r="AB44" s="10">
        <v>10045.450000000001</v>
      </c>
      <c r="AC44" s="10">
        <v>10045.450000000001</v>
      </c>
      <c r="AD44" s="10">
        <v>10045.450000000001</v>
      </c>
      <c r="AE44" s="10">
        <v>10045.450000000001</v>
      </c>
      <c r="AF44" s="10">
        <v>10045.450000000001</v>
      </c>
      <c r="AG44" s="10">
        <v>10045.450000000001</v>
      </c>
      <c r="AH44" s="10">
        <v>10045.450000000001</v>
      </c>
      <c r="AI44" s="10">
        <v>10045.450000000001</v>
      </c>
      <c r="AJ44" s="10">
        <v>10045.450000000001</v>
      </c>
      <c r="AK44" s="10">
        <v>10045.450000000001</v>
      </c>
      <c r="AL44" s="10">
        <v>10045.450000000001</v>
      </c>
      <c r="AM44" s="10">
        <v>10045.450000000001</v>
      </c>
      <c r="AN44" s="10">
        <v>10045.450000000001</v>
      </c>
      <c r="AO44" s="10">
        <v>10045.450000000001</v>
      </c>
      <c r="AP44" s="10">
        <v>10045.450000000001</v>
      </c>
      <c r="AQ44" s="10">
        <v>10045.450000000001</v>
      </c>
      <c r="AR44" s="10">
        <v>10045.450000000001</v>
      </c>
      <c r="AS44" s="10">
        <v>10045.450000000001</v>
      </c>
      <c r="AT44" s="10">
        <v>10045.450000000001</v>
      </c>
      <c r="AU44" s="10">
        <v>10045.450000000001</v>
      </c>
      <c r="AV44" s="10">
        <v>10045.450000000001</v>
      </c>
      <c r="AW44" s="10">
        <v>10045.450000000001</v>
      </c>
      <c r="AX44" s="10">
        <v>10045.450000000001</v>
      </c>
      <c r="AY44" s="10">
        <v>10045.450000000001</v>
      </c>
      <c r="AZ44" s="10">
        <v>10045.450000000001</v>
      </c>
      <c r="BA44" s="10">
        <v>10045.450000000001</v>
      </c>
      <c r="BB44" s="10">
        <v>10045.450000000001</v>
      </c>
      <c r="BC44" s="10">
        <v>10045.450000000001</v>
      </c>
      <c r="BD44" s="10">
        <v>10045.450000000001</v>
      </c>
      <c r="BE44" s="10">
        <v>10045.450000000001</v>
      </c>
      <c r="BF44" s="10">
        <v>10045.450000000001</v>
      </c>
      <c r="BG44" s="10">
        <v>10045.450000000001</v>
      </c>
      <c r="BH44" s="10">
        <v>10045.450000000001</v>
      </c>
      <c r="BI44" s="10">
        <v>10045.450000000001</v>
      </c>
      <c r="BJ44" s="10">
        <v>10045.450000000001</v>
      </c>
      <c r="BK44" s="10">
        <v>10045.450000000001</v>
      </c>
      <c r="BL44" s="10">
        <v>10045.450000000001</v>
      </c>
      <c r="BM44" s="10">
        <v>10045.450000000001</v>
      </c>
      <c r="BN44" s="10">
        <v>10045.450000000001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</row>
    <row r="45" spans="1:79" x14ac:dyDescent="0.3">
      <c r="A45" s="9" t="s">
        <v>235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41414.1</v>
      </c>
      <c r="AD45" s="10">
        <v>41414.1</v>
      </c>
      <c r="AE45" s="10">
        <v>41414.1</v>
      </c>
      <c r="AF45" s="10">
        <v>41414.1</v>
      </c>
      <c r="AG45" s="10">
        <v>41414.1</v>
      </c>
      <c r="AH45" s="10">
        <v>41414.1</v>
      </c>
      <c r="AI45" s="10">
        <v>41414.1</v>
      </c>
      <c r="AJ45" s="10">
        <v>41414.1</v>
      </c>
      <c r="AK45" s="10">
        <v>41414.1</v>
      </c>
      <c r="AL45" s="10">
        <v>41414.1</v>
      </c>
      <c r="AM45" s="10">
        <v>41414.1</v>
      </c>
      <c r="AN45" s="10">
        <v>41414.1</v>
      </c>
      <c r="AO45" s="10">
        <v>41414.1</v>
      </c>
      <c r="AP45" s="10">
        <v>41414.1</v>
      </c>
      <c r="AQ45" s="10">
        <v>41414.1</v>
      </c>
      <c r="AR45" s="10">
        <v>41414.1</v>
      </c>
      <c r="AS45" s="10">
        <v>41414.1</v>
      </c>
      <c r="AT45" s="10">
        <v>41414.1</v>
      </c>
      <c r="AU45" s="10">
        <v>41414.1</v>
      </c>
      <c r="AV45" s="10">
        <v>41414.1</v>
      </c>
      <c r="AW45" s="10">
        <v>41414.1</v>
      </c>
      <c r="AX45" s="10">
        <v>41414.1</v>
      </c>
      <c r="AY45" s="10">
        <v>41414.1</v>
      </c>
      <c r="AZ45" s="10">
        <v>41414.1</v>
      </c>
      <c r="BA45" s="10">
        <v>41414.1</v>
      </c>
      <c r="BB45" s="10">
        <v>41414.1</v>
      </c>
      <c r="BC45" s="10">
        <v>41414.1</v>
      </c>
      <c r="BD45" s="10">
        <v>41414.1</v>
      </c>
      <c r="BE45" s="10">
        <v>41414.1</v>
      </c>
      <c r="BF45" s="10">
        <v>41414.1</v>
      </c>
      <c r="BG45" s="10">
        <v>41414.1</v>
      </c>
      <c r="BH45" s="10">
        <v>41414.1</v>
      </c>
      <c r="BI45" s="10">
        <v>41414.1</v>
      </c>
      <c r="BJ45" s="10">
        <v>41414.1</v>
      </c>
      <c r="BK45" s="10">
        <v>41414.1</v>
      </c>
      <c r="BL45" s="10">
        <v>41414.1</v>
      </c>
      <c r="BM45" s="10">
        <v>41414.1</v>
      </c>
      <c r="BN45" s="10">
        <v>41414.1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</row>
    <row r="46" spans="1:79" x14ac:dyDescent="0.3">
      <c r="A46" s="9" t="s">
        <v>236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40183.24</v>
      </c>
      <c r="AQ46" s="10">
        <v>40183.24</v>
      </c>
      <c r="AR46" s="10">
        <v>40183.24</v>
      </c>
      <c r="AS46" s="10">
        <v>40183.24</v>
      </c>
      <c r="AT46" s="10">
        <v>40183.24</v>
      </c>
      <c r="AU46" s="10">
        <v>40183.24</v>
      </c>
      <c r="AV46" s="10">
        <v>40183.24</v>
      </c>
      <c r="AW46" s="10">
        <v>40183.24</v>
      </c>
      <c r="AX46" s="10">
        <v>40183.24</v>
      </c>
      <c r="AY46" s="10">
        <v>40183.24</v>
      </c>
      <c r="AZ46" s="10">
        <v>40183.24</v>
      </c>
      <c r="BA46" s="10">
        <v>40183.24</v>
      </c>
      <c r="BB46" s="10">
        <v>40183.24</v>
      </c>
      <c r="BC46" s="10">
        <v>40183.24</v>
      </c>
      <c r="BD46" s="10">
        <v>40183.24</v>
      </c>
      <c r="BE46" s="10">
        <v>40183.24</v>
      </c>
      <c r="BF46" s="10">
        <v>40183.24</v>
      </c>
      <c r="BG46" s="10">
        <v>40183.24</v>
      </c>
      <c r="BH46" s="10">
        <v>40183.24</v>
      </c>
      <c r="BI46" s="10">
        <v>40183.24</v>
      </c>
      <c r="BJ46" s="10">
        <v>40183.24</v>
      </c>
      <c r="BK46" s="10">
        <v>40183.24</v>
      </c>
      <c r="BL46" s="10">
        <v>40183.24</v>
      </c>
      <c r="BM46" s="10">
        <v>40183.24</v>
      </c>
      <c r="BN46" s="10">
        <v>40183.24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</row>
    <row r="47" spans="1:79" x14ac:dyDescent="0.3">
      <c r="A47" s="9" t="s">
        <v>237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30800.560000000001</v>
      </c>
      <c r="AU47" s="10">
        <v>30800.560000000001</v>
      </c>
      <c r="AV47" s="10">
        <v>30800.560000000001</v>
      </c>
      <c r="AW47" s="10">
        <v>30800.560000000001</v>
      </c>
      <c r="AX47" s="10">
        <v>30800.560000000001</v>
      </c>
      <c r="AY47" s="10">
        <v>30800.560000000001</v>
      </c>
      <c r="AZ47" s="10">
        <v>30800.560000000001</v>
      </c>
      <c r="BA47" s="10">
        <v>30800.560000000001</v>
      </c>
      <c r="BB47" s="10">
        <v>30800.560000000001</v>
      </c>
      <c r="BC47" s="10">
        <v>30800.560000000001</v>
      </c>
      <c r="BD47" s="10">
        <v>30800.560000000001</v>
      </c>
      <c r="BE47" s="10">
        <v>30800.560000000001</v>
      </c>
      <c r="BF47" s="10">
        <v>30800.560000000001</v>
      </c>
      <c r="BG47" s="10">
        <v>30800.560000000001</v>
      </c>
      <c r="BH47" s="10">
        <v>30800.560000000001</v>
      </c>
      <c r="BI47" s="10">
        <v>30800.560000000001</v>
      </c>
      <c r="BJ47" s="10">
        <v>30800.560000000001</v>
      </c>
      <c r="BK47" s="10">
        <v>30800.560000000001</v>
      </c>
      <c r="BL47" s="10">
        <v>30800.560000000001</v>
      </c>
      <c r="BM47" s="10">
        <v>30800.560000000001</v>
      </c>
      <c r="BN47" s="10">
        <v>30800.560000000001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</row>
    <row r="48" spans="1:79" x14ac:dyDescent="0.3">
      <c r="A48" s="9" t="s">
        <v>238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12236.29</v>
      </c>
      <c r="AX48" s="10">
        <v>12236.29</v>
      </c>
      <c r="AY48" s="10">
        <v>12236.29</v>
      </c>
      <c r="AZ48" s="10">
        <v>12236.29</v>
      </c>
      <c r="BA48" s="10">
        <v>12236.29</v>
      </c>
      <c r="BB48" s="10">
        <v>12236.29</v>
      </c>
      <c r="BC48" s="10">
        <v>12236.29</v>
      </c>
      <c r="BD48" s="10">
        <v>12236.29</v>
      </c>
      <c r="BE48" s="10">
        <v>12236.29</v>
      </c>
      <c r="BF48" s="10">
        <v>12236.29</v>
      </c>
      <c r="BG48" s="10">
        <v>12236.29</v>
      </c>
      <c r="BH48" s="10">
        <v>12236.29</v>
      </c>
      <c r="BI48" s="10">
        <v>12236.29</v>
      </c>
      <c r="BJ48" s="10">
        <v>12236.29</v>
      </c>
      <c r="BK48" s="10">
        <v>12236.29</v>
      </c>
      <c r="BL48" s="10">
        <v>12236.29</v>
      </c>
      <c r="BM48" s="10">
        <v>12236.29</v>
      </c>
      <c r="BN48" s="10">
        <v>12236.29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</row>
    <row r="49" spans="1:79" x14ac:dyDescent="0.3">
      <c r="A49" s="9" t="s">
        <v>239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30926.51</v>
      </c>
      <c r="AY49" s="10">
        <v>30926.51</v>
      </c>
      <c r="AZ49" s="10">
        <v>30926.51</v>
      </c>
      <c r="BA49" s="10">
        <v>30926.51</v>
      </c>
      <c r="BB49" s="10">
        <v>30926.51</v>
      </c>
      <c r="BC49" s="10">
        <v>30926.51</v>
      </c>
      <c r="BD49" s="10">
        <v>30926.51</v>
      </c>
      <c r="BE49" s="10">
        <v>30926.51</v>
      </c>
      <c r="BF49" s="10">
        <v>30926.51</v>
      </c>
      <c r="BG49" s="10">
        <v>30926.51</v>
      </c>
      <c r="BH49" s="10">
        <v>30926.51</v>
      </c>
      <c r="BI49" s="10">
        <v>30926.51</v>
      </c>
      <c r="BJ49" s="10">
        <v>30926.51</v>
      </c>
      <c r="BK49" s="10">
        <v>30926.51</v>
      </c>
      <c r="BL49" s="10">
        <v>30926.51</v>
      </c>
      <c r="BM49" s="10">
        <v>30926.51</v>
      </c>
      <c r="BN49" s="10">
        <v>30926.51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</row>
    <row r="50" spans="1:79" x14ac:dyDescent="0.3">
      <c r="A50" s="9" t="s">
        <v>240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32203.9</v>
      </c>
      <c r="AZ50" s="10">
        <v>32203.9</v>
      </c>
      <c r="BA50" s="10">
        <v>32203.9</v>
      </c>
      <c r="BB50" s="10">
        <v>32203.9</v>
      </c>
      <c r="BC50" s="10">
        <v>32203.9</v>
      </c>
      <c r="BD50" s="10">
        <v>32203.9</v>
      </c>
      <c r="BE50" s="10">
        <v>32203.9</v>
      </c>
      <c r="BF50" s="10">
        <v>32203.9</v>
      </c>
      <c r="BG50" s="10">
        <v>32203.9</v>
      </c>
      <c r="BH50" s="10">
        <v>32203.9</v>
      </c>
      <c r="BI50" s="10">
        <v>32203.9</v>
      </c>
      <c r="BJ50" s="10">
        <v>32203.9</v>
      </c>
      <c r="BK50" s="10">
        <v>32203.9</v>
      </c>
      <c r="BL50" s="10">
        <v>32203.9</v>
      </c>
      <c r="BM50" s="10">
        <v>32203.9</v>
      </c>
      <c r="BN50" s="10">
        <v>32203.9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</row>
    <row r="51" spans="1:79" x14ac:dyDescent="0.3">
      <c r="A51" s="9" t="s">
        <v>241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34440.21</v>
      </c>
      <c r="BE51" s="10">
        <v>34440.21</v>
      </c>
      <c r="BF51" s="10">
        <v>34440.21</v>
      </c>
      <c r="BG51" s="10">
        <v>34440.21</v>
      </c>
      <c r="BH51" s="10">
        <v>34440.21</v>
      </c>
      <c r="BI51" s="10">
        <v>34440.21</v>
      </c>
      <c r="BJ51" s="10">
        <v>34440.21</v>
      </c>
      <c r="BK51" s="10">
        <v>34440.21</v>
      </c>
      <c r="BL51" s="10">
        <v>34440.21</v>
      </c>
      <c r="BM51" s="10">
        <v>34440.21</v>
      </c>
      <c r="BN51" s="10">
        <v>34440.21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</row>
    <row r="52" spans="1:79" x14ac:dyDescent="0.3">
      <c r="A52" s="9" t="s">
        <v>242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30888.9</v>
      </c>
      <c r="BE52" s="10">
        <v>30888.9</v>
      </c>
      <c r="BF52" s="10">
        <v>30888.9</v>
      </c>
      <c r="BG52" s="10">
        <v>30888.9</v>
      </c>
      <c r="BH52" s="10">
        <v>30888.9</v>
      </c>
      <c r="BI52" s="10">
        <v>30888.9</v>
      </c>
      <c r="BJ52" s="10">
        <v>30888.9</v>
      </c>
      <c r="BK52" s="10">
        <v>30888.9</v>
      </c>
      <c r="BL52" s="10">
        <v>30888.9</v>
      </c>
      <c r="BM52" s="10">
        <v>30888.9</v>
      </c>
      <c r="BN52" s="10">
        <v>30888.9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</row>
    <row r="53" spans="1:79" x14ac:dyDescent="0.3">
      <c r="A53" s="9" t="s">
        <v>243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141080</v>
      </c>
      <c r="BF53" s="10">
        <v>141080</v>
      </c>
      <c r="BG53" s="10">
        <v>141080</v>
      </c>
      <c r="BH53" s="10">
        <v>141080</v>
      </c>
      <c r="BI53" s="10">
        <v>141080</v>
      </c>
      <c r="BJ53" s="10">
        <v>141080</v>
      </c>
      <c r="BK53" s="10">
        <v>141080</v>
      </c>
      <c r="BL53" s="10">
        <v>141080</v>
      </c>
      <c r="BM53" s="10">
        <v>141080</v>
      </c>
      <c r="BN53" s="10">
        <v>141080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</row>
    <row r="54" spans="1:79" x14ac:dyDescent="0.3">
      <c r="A54" s="9" t="s">
        <v>244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57860.51</v>
      </c>
      <c r="BE54" s="10">
        <v>57860.51</v>
      </c>
      <c r="BF54" s="10">
        <v>57860.51</v>
      </c>
      <c r="BG54" s="10">
        <v>57860.51</v>
      </c>
      <c r="BH54" s="10">
        <v>57860.51</v>
      </c>
      <c r="BI54" s="10">
        <v>57860.51</v>
      </c>
      <c r="BJ54" s="10">
        <v>57860.51</v>
      </c>
      <c r="BK54" s="10">
        <v>57860.51</v>
      </c>
      <c r="BL54" s="10">
        <v>57860.51</v>
      </c>
      <c r="BM54" s="10">
        <v>57860.51</v>
      </c>
      <c r="BN54" s="10">
        <v>57860.51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</row>
    <row r="55" spans="1:79" x14ac:dyDescent="0.3">
      <c r="A55" s="9" t="s">
        <v>245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71009.3</v>
      </c>
      <c r="BE55" s="10">
        <v>71009.3</v>
      </c>
      <c r="BF55" s="10">
        <v>71009.3</v>
      </c>
      <c r="BG55" s="10">
        <v>71009.3</v>
      </c>
      <c r="BH55" s="10">
        <v>71009.3</v>
      </c>
      <c r="BI55" s="10">
        <v>71009.3</v>
      </c>
      <c r="BJ55" s="10">
        <v>71009.3</v>
      </c>
      <c r="BK55" s="10">
        <v>71009.3</v>
      </c>
      <c r="BL55" s="10">
        <v>71009.3</v>
      </c>
      <c r="BM55" s="10">
        <v>71009.3</v>
      </c>
      <c r="BN55" s="10">
        <v>71009.3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</row>
    <row r="56" spans="1:79" x14ac:dyDescent="0.3">
      <c r="A56" s="9" t="s">
        <v>246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49516.800000000003</v>
      </c>
      <c r="BF56" s="10">
        <v>49516.800000000003</v>
      </c>
      <c r="BG56" s="10">
        <v>49516.800000000003</v>
      </c>
      <c r="BH56" s="10">
        <v>49516.800000000003</v>
      </c>
      <c r="BI56" s="10">
        <v>49516.800000000003</v>
      </c>
      <c r="BJ56" s="10">
        <v>49516.800000000003</v>
      </c>
      <c r="BK56" s="10">
        <v>49516.800000000003</v>
      </c>
      <c r="BL56" s="10">
        <v>49516.800000000003</v>
      </c>
      <c r="BM56" s="10">
        <v>49516.800000000003</v>
      </c>
      <c r="BN56" s="10">
        <v>49516.800000000003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</row>
    <row r="57" spans="1:79" x14ac:dyDescent="0.3">
      <c r="A57" s="9" t="s">
        <v>247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2000</v>
      </c>
      <c r="BF57" s="10">
        <v>2000</v>
      </c>
      <c r="BG57" s="10">
        <v>2000</v>
      </c>
      <c r="BH57" s="10">
        <v>2000</v>
      </c>
      <c r="BI57" s="10">
        <v>2000</v>
      </c>
      <c r="BJ57" s="10">
        <v>2000</v>
      </c>
      <c r="BK57" s="10">
        <v>2000</v>
      </c>
      <c r="BL57" s="10">
        <v>2000</v>
      </c>
      <c r="BM57" s="10">
        <v>2000</v>
      </c>
      <c r="BN57" s="10">
        <v>2000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</row>
    <row r="58" spans="1:79" x14ac:dyDescent="0.3">
      <c r="A58" s="11" t="s">
        <v>248</v>
      </c>
      <c r="B58" s="6">
        <f t="shared" ref="B58:BM58" si="11">SUM(B37:B57)</f>
        <v>0</v>
      </c>
      <c r="C58" s="6">
        <f t="shared" si="11"/>
        <v>0</v>
      </c>
      <c r="D58" s="6">
        <f t="shared" si="11"/>
        <v>32967.32</v>
      </c>
      <c r="E58" s="6">
        <f t="shared" si="11"/>
        <v>32967.32</v>
      </c>
      <c r="F58" s="6">
        <f t="shared" si="11"/>
        <v>32967.32</v>
      </c>
      <c r="G58" s="6">
        <f t="shared" si="11"/>
        <v>86863.679999999993</v>
      </c>
      <c r="H58" s="6">
        <f t="shared" si="11"/>
        <v>96203.079999999987</v>
      </c>
      <c r="I58" s="6">
        <f t="shared" si="11"/>
        <v>96203.079999999987</v>
      </c>
      <c r="J58" s="6">
        <f t="shared" si="11"/>
        <v>96203.079999999987</v>
      </c>
      <c r="K58" s="6">
        <f t="shared" si="11"/>
        <v>96203.079999999987</v>
      </c>
      <c r="L58" s="6">
        <f t="shared" si="11"/>
        <v>96203.079999999987</v>
      </c>
      <c r="M58" s="6">
        <f t="shared" si="11"/>
        <v>96203.079999999987</v>
      </c>
      <c r="N58" s="6">
        <f t="shared" si="11"/>
        <v>96203.079999999987</v>
      </c>
      <c r="O58" s="6">
        <f t="shared" si="11"/>
        <v>128658.72999999998</v>
      </c>
      <c r="P58" s="6">
        <f t="shared" si="11"/>
        <v>128658.72999999998</v>
      </c>
      <c r="Q58" s="6">
        <f t="shared" si="11"/>
        <v>128658.72999999998</v>
      </c>
      <c r="R58" s="6">
        <f t="shared" si="11"/>
        <v>172567.81999999998</v>
      </c>
      <c r="S58" s="6">
        <f t="shared" si="11"/>
        <v>173022.37</v>
      </c>
      <c r="T58" s="6">
        <f t="shared" si="11"/>
        <v>173022.37</v>
      </c>
      <c r="U58" s="6">
        <f t="shared" si="11"/>
        <v>173022.37</v>
      </c>
      <c r="V58" s="6">
        <f t="shared" si="11"/>
        <v>173022.37</v>
      </c>
      <c r="W58" s="6">
        <f t="shared" si="11"/>
        <v>173022.37</v>
      </c>
      <c r="X58" s="6">
        <f t="shared" si="11"/>
        <v>173022.37</v>
      </c>
      <c r="Y58" s="6">
        <f t="shared" si="11"/>
        <v>173022.37</v>
      </c>
      <c r="Z58" s="6">
        <f t="shared" si="11"/>
        <v>173022.37</v>
      </c>
      <c r="AA58" s="6">
        <f t="shared" si="11"/>
        <v>183067.82</v>
      </c>
      <c r="AB58" s="6">
        <f t="shared" si="11"/>
        <v>183067.82</v>
      </c>
      <c r="AC58" s="6">
        <f t="shared" si="11"/>
        <v>224481.92000000001</v>
      </c>
      <c r="AD58" s="6">
        <f t="shared" si="11"/>
        <v>224481.92000000001</v>
      </c>
      <c r="AE58" s="6">
        <f t="shared" si="11"/>
        <v>224481.92000000001</v>
      </c>
      <c r="AF58" s="6">
        <f t="shared" si="11"/>
        <v>224481.92000000001</v>
      </c>
      <c r="AG58" s="6">
        <f t="shared" si="11"/>
        <v>224481.92000000001</v>
      </c>
      <c r="AH58" s="6">
        <f t="shared" si="11"/>
        <v>224481.92000000001</v>
      </c>
      <c r="AI58" s="6">
        <f t="shared" si="11"/>
        <v>224481.92000000001</v>
      </c>
      <c r="AJ58" s="6">
        <f t="shared" si="11"/>
        <v>224481.92000000001</v>
      </c>
      <c r="AK58" s="6">
        <f t="shared" si="11"/>
        <v>224481.92000000001</v>
      </c>
      <c r="AL58" s="6">
        <f t="shared" si="11"/>
        <v>224481.92000000001</v>
      </c>
      <c r="AM58" s="6">
        <f t="shared" si="11"/>
        <v>224481.92000000001</v>
      </c>
      <c r="AN58" s="6">
        <f t="shared" si="11"/>
        <v>224481.92000000001</v>
      </c>
      <c r="AO58" s="6">
        <f t="shared" si="11"/>
        <v>224481.92000000001</v>
      </c>
      <c r="AP58" s="6">
        <f t="shared" si="11"/>
        <v>264665.16000000003</v>
      </c>
      <c r="AQ58" s="6">
        <f t="shared" si="11"/>
        <v>264665.16000000003</v>
      </c>
      <c r="AR58" s="6">
        <f t="shared" si="11"/>
        <v>264665.16000000003</v>
      </c>
      <c r="AS58" s="6">
        <f t="shared" si="11"/>
        <v>264665.16000000003</v>
      </c>
      <c r="AT58" s="6">
        <f t="shared" si="11"/>
        <v>295465.72000000003</v>
      </c>
      <c r="AU58" s="6">
        <f t="shared" si="11"/>
        <v>295465.72000000003</v>
      </c>
      <c r="AV58" s="6">
        <f t="shared" si="11"/>
        <v>295465.72000000003</v>
      </c>
      <c r="AW58" s="6">
        <f t="shared" si="11"/>
        <v>307702.01</v>
      </c>
      <c r="AX58" s="6">
        <f t="shared" si="11"/>
        <v>338628.52</v>
      </c>
      <c r="AY58" s="6">
        <f t="shared" si="11"/>
        <v>370832.42000000004</v>
      </c>
      <c r="AZ58" s="6">
        <f t="shared" si="11"/>
        <v>370832.42000000004</v>
      </c>
      <c r="BA58" s="6">
        <f t="shared" si="11"/>
        <v>370832.42000000004</v>
      </c>
      <c r="BB58" s="6">
        <f t="shared" si="11"/>
        <v>370832.42000000004</v>
      </c>
      <c r="BC58" s="6">
        <f t="shared" si="11"/>
        <v>370832.42000000004</v>
      </c>
      <c r="BD58" s="6">
        <f t="shared" si="11"/>
        <v>565031.34000000008</v>
      </c>
      <c r="BE58" s="6">
        <f t="shared" si="11"/>
        <v>757628.14000000013</v>
      </c>
      <c r="BF58" s="6">
        <f t="shared" si="11"/>
        <v>757628.14000000013</v>
      </c>
      <c r="BG58" s="6">
        <f t="shared" si="11"/>
        <v>757628.14000000013</v>
      </c>
      <c r="BH58" s="6">
        <f t="shared" si="11"/>
        <v>757628.14000000013</v>
      </c>
      <c r="BI58" s="6">
        <f t="shared" si="11"/>
        <v>757628.14000000013</v>
      </c>
      <c r="BJ58" s="6">
        <f t="shared" si="11"/>
        <v>757628.14000000013</v>
      </c>
      <c r="BK58" s="6">
        <f t="shared" si="11"/>
        <v>757628.14000000013</v>
      </c>
      <c r="BL58" s="6">
        <f t="shared" si="11"/>
        <v>757628.14000000013</v>
      </c>
      <c r="BM58" s="6">
        <f t="shared" si="11"/>
        <v>757628.14000000013</v>
      </c>
      <c r="BN58" s="6">
        <f t="shared" ref="BN58:CA58" si="12">SUM(BN37:BN57)</f>
        <v>757628.14000000013</v>
      </c>
      <c r="BO58" s="6">
        <f t="shared" si="12"/>
        <v>0</v>
      </c>
      <c r="BP58" s="6">
        <f t="shared" si="12"/>
        <v>135.52000000000001</v>
      </c>
      <c r="BQ58" s="6">
        <f t="shared" si="12"/>
        <v>659.52</v>
      </c>
      <c r="BR58" s="6">
        <f t="shared" si="12"/>
        <v>659.52</v>
      </c>
      <c r="BS58" s="6">
        <f t="shared" si="12"/>
        <v>659.52</v>
      </c>
      <c r="BT58" s="6">
        <f t="shared" si="12"/>
        <v>659.52</v>
      </c>
      <c r="BU58" s="6">
        <f t="shared" si="12"/>
        <v>659.52</v>
      </c>
      <c r="BV58" s="6">
        <f t="shared" si="12"/>
        <v>659.52</v>
      </c>
      <c r="BW58" s="6">
        <f t="shared" si="12"/>
        <v>659.52</v>
      </c>
      <c r="BX58" s="6">
        <f t="shared" si="12"/>
        <v>659.52</v>
      </c>
      <c r="BY58" s="6">
        <f t="shared" si="12"/>
        <v>659.52</v>
      </c>
      <c r="BZ58" s="6">
        <f t="shared" si="12"/>
        <v>659.52</v>
      </c>
      <c r="CA58" s="6">
        <f t="shared" si="12"/>
        <v>659.52</v>
      </c>
    </row>
    <row r="59" spans="1:79" x14ac:dyDescent="0.3">
      <c r="A59" s="5" t="s">
        <v>249</v>
      </c>
      <c r="B59" s="6">
        <f t="shared" ref="B59:BM59" si="13">SUM(B58,B32:B35)</f>
        <v>976.36</v>
      </c>
      <c r="C59" s="6">
        <f t="shared" si="13"/>
        <v>976.36</v>
      </c>
      <c r="D59" s="6">
        <f t="shared" si="13"/>
        <v>33943.68</v>
      </c>
      <c r="E59" s="6">
        <f t="shared" si="13"/>
        <v>33943.68</v>
      </c>
      <c r="F59" s="6">
        <f t="shared" si="13"/>
        <v>33943.68</v>
      </c>
      <c r="G59" s="6">
        <f t="shared" si="13"/>
        <v>88267.31</v>
      </c>
      <c r="H59" s="6">
        <f t="shared" si="13"/>
        <v>97606.709999999992</v>
      </c>
      <c r="I59" s="6">
        <f t="shared" si="13"/>
        <v>97606.709999999992</v>
      </c>
      <c r="J59" s="6">
        <f t="shared" si="13"/>
        <v>97606.709999999992</v>
      </c>
      <c r="K59" s="6">
        <f t="shared" si="13"/>
        <v>97606.709999999992</v>
      </c>
      <c r="L59" s="6">
        <f t="shared" si="13"/>
        <v>97606.709999999992</v>
      </c>
      <c r="M59" s="6">
        <f t="shared" si="13"/>
        <v>97606.709999999992</v>
      </c>
      <c r="N59" s="6">
        <f t="shared" si="13"/>
        <v>97606.709999999992</v>
      </c>
      <c r="O59" s="6">
        <f t="shared" si="13"/>
        <v>130062.35999999999</v>
      </c>
      <c r="P59" s="6">
        <f t="shared" si="13"/>
        <v>130062.35999999999</v>
      </c>
      <c r="Q59" s="6">
        <f t="shared" si="13"/>
        <v>130062.35999999999</v>
      </c>
      <c r="R59" s="6">
        <f t="shared" si="13"/>
        <v>173971.44999999998</v>
      </c>
      <c r="S59" s="6">
        <f t="shared" si="13"/>
        <v>174426</v>
      </c>
      <c r="T59" s="6">
        <f t="shared" si="13"/>
        <v>174426</v>
      </c>
      <c r="U59" s="6">
        <f t="shared" si="13"/>
        <v>174426</v>
      </c>
      <c r="V59" s="6">
        <f t="shared" si="13"/>
        <v>174426</v>
      </c>
      <c r="W59" s="6">
        <f t="shared" si="13"/>
        <v>174426</v>
      </c>
      <c r="X59" s="6">
        <f t="shared" si="13"/>
        <v>174426</v>
      </c>
      <c r="Y59" s="6">
        <f t="shared" si="13"/>
        <v>174426</v>
      </c>
      <c r="Z59" s="6">
        <f t="shared" si="13"/>
        <v>178500.55</v>
      </c>
      <c r="AA59" s="6">
        <f t="shared" si="13"/>
        <v>188546</v>
      </c>
      <c r="AB59" s="6">
        <f t="shared" si="13"/>
        <v>188546</v>
      </c>
      <c r="AC59" s="6">
        <f t="shared" si="13"/>
        <v>229960.1</v>
      </c>
      <c r="AD59" s="6">
        <f t="shared" si="13"/>
        <v>229960.1</v>
      </c>
      <c r="AE59" s="6">
        <f t="shared" si="13"/>
        <v>229960.1</v>
      </c>
      <c r="AF59" s="6">
        <f t="shared" si="13"/>
        <v>229960.1</v>
      </c>
      <c r="AG59" s="6">
        <f t="shared" si="13"/>
        <v>233202.64</v>
      </c>
      <c r="AH59" s="6">
        <f t="shared" si="13"/>
        <v>233202.64</v>
      </c>
      <c r="AI59" s="6">
        <f t="shared" si="13"/>
        <v>233202.64</v>
      </c>
      <c r="AJ59" s="6">
        <f t="shared" si="13"/>
        <v>233277.64</v>
      </c>
      <c r="AK59" s="6">
        <f t="shared" si="13"/>
        <v>233352.64</v>
      </c>
      <c r="AL59" s="6">
        <f t="shared" si="13"/>
        <v>233352.64</v>
      </c>
      <c r="AM59" s="6">
        <f t="shared" si="13"/>
        <v>235930.83000000002</v>
      </c>
      <c r="AN59" s="6">
        <f t="shared" si="13"/>
        <v>235930.83000000002</v>
      </c>
      <c r="AO59" s="6">
        <f t="shared" si="13"/>
        <v>235930.83000000002</v>
      </c>
      <c r="AP59" s="6">
        <f t="shared" si="13"/>
        <v>276114.07</v>
      </c>
      <c r="AQ59" s="6">
        <f t="shared" si="13"/>
        <v>276114.07</v>
      </c>
      <c r="AR59" s="6">
        <f t="shared" si="13"/>
        <v>276114.07</v>
      </c>
      <c r="AS59" s="6">
        <f t="shared" si="13"/>
        <v>276114.07</v>
      </c>
      <c r="AT59" s="6">
        <f t="shared" si="13"/>
        <v>306914.63</v>
      </c>
      <c r="AU59" s="6">
        <f t="shared" si="13"/>
        <v>306914.63</v>
      </c>
      <c r="AV59" s="6">
        <f t="shared" si="13"/>
        <v>306914.63</v>
      </c>
      <c r="AW59" s="6">
        <f t="shared" si="13"/>
        <v>319150.92</v>
      </c>
      <c r="AX59" s="6">
        <f t="shared" si="13"/>
        <v>350077.43</v>
      </c>
      <c r="AY59" s="6">
        <f t="shared" si="13"/>
        <v>382991.47000000003</v>
      </c>
      <c r="AZ59" s="6">
        <f t="shared" si="13"/>
        <v>383072.33</v>
      </c>
      <c r="BA59" s="6">
        <f t="shared" si="13"/>
        <v>383072.33</v>
      </c>
      <c r="BB59" s="6">
        <f t="shared" si="13"/>
        <v>383072.33</v>
      </c>
      <c r="BC59" s="6">
        <f t="shared" si="13"/>
        <v>383072.33</v>
      </c>
      <c r="BD59" s="6">
        <f t="shared" si="13"/>
        <v>577271.25000000012</v>
      </c>
      <c r="BE59" s="6">
        <f t="shared" si="13"/>
        <v>769868.05000000016</v>
      </c>
      <c r="BF59" s="6">
        <f t="shared" si="13"/>
        <v>769868.05000000016</v>
      </c>
      <c r="BG59" s="6">
        <f t="shared" si="13"/>
        <v>769868.05000000016</v>
      </c>
      <c r="BH59" s="6">
        <f t="shared" si="13"/>
        <v>769868.05000000016</v>
      </c>
      <c r="BI59" s="6">
        <f t="shared" si="13"/>
        <v>769868.05000000016</v>
      </c>
      <c r="BJ59" s="6">
        <f t="shared" si="13"/>
        <v>769868.05000000016</v>
      </c>
      <c r="BK59" s="6">
        <f t="shared" si="13"/>
        <v>769868.05000000016</v>
      </c>
      <c r="BL59" s="6">
        <f t="shared" si="13"/>
        <v>773137.0900000002</v>
      </c>
      <c r="BM59" s="6">
        <f t="shared" si="13"/>
        <v>773137.0900000002</v>
      </c>
      <c r="BN59" s="6">
        <f t="shared" ref="BN59:CA59" si="14">SUM(BN58,BN32:BN35)</f>
        <v>773137.0900000002</v>
      </c>
      <c r="BO59" s="6">
        <f t="shared" si="14"/>
        <v>326918.72000000003</v>
      </c>
      <c r="BP59" s="6">
        <f t="shared" si="14"/>
        <v>327054.24</v>
      </c>
      <c r="BQ59" s="6">
        <f t="shared" si="14"/>
        <v>327578.23999999999</v>
      </c>
      <c r="BR59" s="6">
        <f t="shared" si="14"/>
        <v>327578.23999999999</v>
      </c>
      <c r="BS59" s="6">
        <f t="shared" si="14"/>
        <v>371413.82999999996</v>
      </c>
      <c r="BT59" s="6">
        <f t="shared" si="14"/>
        <v>371413.82999999996</v>
      </c>
      <c r="BU59" s="6">
        <f t="shared" si="14"/>
        <v>371413.82999999996</v>
      </c>
      <c r="BV59" s="6">
        <f t="shared" si="14"/>
        <v>371413.82999999996</v>
      </c>
      <c r="BW59" s="6">
        <f t="shared" si="14"/>
        <v>371413.82999999996</v>
      </c>
      <c r="BX59" s="6">
        <f t="shared" si="14"/>
        <v>371413.82999999996</v>
      </c>
      <c r="BY59" s="6">
        <f t="shared" si="14"/>
        <v>371413.82999999996</v>
      </c>
      <c r="BZ59" s="6">
        <f t="shared" si="14"/>
        <v>371413.82999999996</v>
      </c>
      <c r="CA59" s="6">
        <f t="shared" si="14"/>
        <v>371413.82999999996</v>
      </c>
    </row>
    <row r="60" spans="1:79" x14ac:dyDescent="0.3">
      <c r="A60" s="5" t="s">
        <v>250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</row>
    <row r="61" spans="1:79" x14ac:dyDescent="0.3">
      <c r="A61" s="12" t="s">
        <v>251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42000</v>
      </c>
      <c r="I61" s="10">
        <v>42000</v>
      </c>
      <c r="J61" s="10">
        <v>42000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50000</v>
      </c>
      <c r="BF61" s="10">
        <v>50000</v>
      </c>
      <c r="BG61" s="10">
        <v>50000</v>
      </c>
      <c r="BH61" s="10">
        <v>50000</v>
      </c>
      <c r="BI61" s="10">
        <v>50000</v>
      </c>
      <c r="BJ61" s="10">
        <v>50000</v>
      </c>
      <c r="BK61" s="10">
        <v>50000</v>
      </c>
      <c r="BL61" s="10">
        <v>50000</v>
      </c>
      <c r="BM61" s="10">
        <v>50000</v>
      </c>
      <c r="BN61" s="10">
        <v>50000</v>
      </c>
      <c r="BO61" s="10">
        <v>50000</v>
      </c>
      <c r="BP61" s="10">
        <v>50000</v>
      </c>
      <c r="BQ61" s="10">
        <v>50000</v>
      </c>
      <c r="BR61" s="10">
        <v>50000</v>
      </c>
      <c r="BS61" s="10">
        <v>50000</v>
      </c>
      <c r="BT61" s="10">
        <v>50000</v>
      </c>
      <c r="BU61" s="10">
        <v>50000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</row>
    <row r="62" spans="1:79" x14ac:dyDescent="0.3">
      <c r="A62" s="12" t="s">
        <v>252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106570.77</v>
      </c>
      <c r="BH62" s="10">
        <v>96934.78</v>
      </c>
      <c r="BI62" s="10">
        <v>149577.69</v>
      </c>
      <c r="BJ62" s="10">
        <v>171293.11</v>
      </c>
      <c r="BK62" s="10">
        <v>174291.11</v>
      </c>
      <c r="BL62" s="10">
        <v>185789.04</v>
      </c>
      <c r="BM62" s="10">
        <v>192107.13</v>
      </c>
      <c r="BN62" s="10">
        <v>192107.13</v>
      </c>
      <c r="BO62" s="10">
        <v>179297.03</v>
      </c>
      <c r="BP62" s="10">
        <v>179297.03</v>
      </c>
      <c r="BQ62" s="10">
        <v>179297.03</v>
      </c>
      <c r="BR62" s="10">
        <v>179297.03</v>
      </c>
      <c r="BS62" s="10">
        <v>179297.03</v>
      </c>
      <c r="BT62" s="10">
        <v>179297.03</v>
      </c>
      <c r="BU62" s="10">
        <v>179297.03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</row>
    <row r="63" spans="1:79" x14ac:dyDescent="0.3">
      <c r="A63" s="5" t="s">
        <v>253</v>
      </c>
      <c r="B63" s="6">
        <f t="shared" ref="B63:AG63" si="15">SUM(B61:B62)</f>
        <v>0</v>
      </c>
      <c r="C63" s="6">
        <f t="shared" si="15"/>
        <v>0</v>
      </c>
      <c r="D63" s="6">
        <f t="shared" si="15"/>
        <v>0</v>
      </c>
      <c r="E63" s="6">
        <f t="shared" si="15"/>
        <v>0</v>
      </c>
      <c r="F63" s="6">
        <f t="shared" si="15"/>
        <v>0</v>
      </c>
      <c r="G63" s="6">
        <f t="shared" si="15"/>
        <v>0</v>
      </c>
      <c r="H63" s="6">
        <f t="shared" si="15"/>
        <v>42000</v>
      </c>
      <c r="I63" s="6">
        <f t="shared" si="15"/>
        <v>42000</v>
      </c>
      <c r="J63" s="6">
        <f t="shared" si="15"/>
        <v>42000</v>
      </c>
      <c r="K63" s="6">
        <f t="shared" si="15"/>
        <v>0</v>
      </c>
      <c r="L63" s="6">
        <f t="shared" si="15"/>
        <v>0</v>
      </c>
      <c r="M63" s="6">
        <f t="shared" si="15"/>
        <v>0</v>
      </c>
      <c r="N63" s="6">
        <f t="shared" si="15"/>
        <v>0</v>
      </c>
      <c r="O63" s="6">
        <f t="shared" si="15"/>
        <v>0</v>
      </c>
      <c r="P63" s="6">
        <f t="shared" si="15"/>
        <v>0</v>
      </c>
      <c r="Q63" s="6">
        <f t="shared" si="15"/>
        <v>0</v>
      </c>
      <c r="R63" s="6">
        <f t="shared" si="15"/>
        <v>0</v>
      </c>
      <c r="S63" s="6">
        <f t="shared" si="15"/>
        <v>0</v>
      </c>
      <c r="T63" s="6">
        <f t="shared" si="15"/>
        <v>0</v>
      </c>
      <c r="U63" s="6">
        <f t="shared" si="15"/>
        <v>0</v>
      </c>
      <c r="V63" s="6">
        <f t="shared" si="15"/>
        <v>0</v>
      </c>
      <c r="W63" s="6">
        <f t="shared" si="15"/>
        <v>0</v>
      </c>
      <c r="X63" s="6">
        <f t="shared" si="15"/>
        <v>0</v>
      </c>
      <c r="Y63" s="6">
        <f t="shared" si="15"/>
        <v>0</v>
      </c>
      <c r="Z63" s="6">
        <f t="shared" si="15"/>
        <v>0</v>
      </c>
      <c r="AA63" s="6">
        <f t="shared" si="15"/>
        <v>0</v>
      </c>
      <c r="AB63" s="6">
        <f t="shared" si="15"/>
        <v>0</v>
      </c>
      <c r="AC63" s="6">
        <f t="shared" si="15"/>
        <v>0</v>
      </c>
      <c r="AD63" s="6">
        <f t="shared" si="15"/>
        <v>0</v>
      </c>
      <c r="AE63" s="6">
        <f t="shared" si="15"/>
        <v>0</v>
      </c>
      <c r="AF63" s="6">
        <f t="shared" si="15"/>
        <v>0</v>
      </c>
      <c r="AG63" s="6">
        <f t="shared" si="15"/>
        <v>0</v>
      </c>
      <c r="AH63" s="6">
        <f t="shared" ref="AH63:CA63" si="16">SUM(AH61:AH62)</f>
        <v>0</v>
      </c>
      <c r="AI63" s="6">
        <f t="shared" si="16"/>
        <v>0</v>
      </c>
      <c r="AJ63" s="6">
        <f t="shared" si="16"/>
        <v>0</v>
      </c>
      <c r="AK63" s="6">
        <f t="shared" si="16"/>
        <v>0</v>
      </c>
      <c r="AL63" s="6">
        <f t="shared" si="16"/>
        <v>0</v>
      </c>
      <c r="AM63" s="6">
        <f t="shared" si="16"/>
        <v>0</v>
      </c>
      <c r="AN63" s="6">
        <f t="shared" si="16"/>
        <v>0</v>
      </c>
      <c r="AO63" s="6">
        <f t="shared" si="16"/>
        <v>0</v>
      </c>
      <c r="AP63" s="6">
        <f t="shared" si="16"/>
        <v>0</v>
      </c>
      <c r="AQ63" s="6">
        <f t="shared" si="16"/>
        <v>0</v>
      </c>
      <c r="AR63" s="6">
        <f t="shared" si="16"/>
        <v>0</v>
      </c>
      <c r="AS63" s="6">
        <f t="shared" si="16"/>
        <v>0</v>
      </c>
      <c r="AT63" s="6">
        <f t="shared" si="16"/>
        <v>0</v>
      </c>
      <c r="AU63" s="6">
        <f t="shared" si="16"/>
        <v>0</v>
      </c>
      <c r="AV63" s="6">
        <f t="shared" si="16"/>
        <v>0</v>
      </c>
      <c r="AW63" s="6">
        <f t="shared" si="16"/>
        <v>0</v>
      </c>
      <c r="AX63" s="6">
        <f t="shared" si="16"/>
        <v>0</v>
      </c>
      <c r="AY63" s="6">
        <f t="shared" si="16"/>
        <v>0</v>
      </c>
      <c r="AZ63" s="6">
        <f t="shared" si="16"/>
        <v>0</v>
      </c>
      <c r="BA63" s="6">
        <f t="shared" si="16"/>
        <v>0</v>
      </c>
      <c r="BB63" s="6">
        <f t="shared" si="16"/>
        <v>0</v>
      </c>
      <c r="BC63" s="6">
        <f t="shared" si="16"/>
        <v>0</v>
      </c>
      <c r="BD63" s="6">
        <f t="shared" si="16"/>
        <v>0</v>
      </c>
      <c r="BE63" s="6">
        <f t="shared" si="16"/>
        <v>50000</v>
      </c>
      <c r="BF63" s="6">
        <f t="shared" si="16"/>
        <v>50000</v>
      </c>
      <c r="BG63" s="6">
        <f t="shared" si="16"/>
        <v>156570.77000000002</v>
      </c>
      <c r="BH63" s="6">
        <f t="shared" si="16"/>
        <v>146934.78</v>
      </c>
      <c r="BI63" s="6">
        <f t="shared" si="16"/>
        <v>199577.69</v>
      </c>
      <c r="BJ63" s="6">
        <f t="shared" si="16"/>
        <v>221293.11</v>
      </c>
      <c r="BK63" s="6">
        <f t="shared" si="16"/>
        <v>224291.11</v>
      </c>
      <c r="BL63" s="6">
        <f t="shared" si="16"/>
        <v>235789.04</v>
      </c>
      <c r="BM63" s="6">
        <f t="shared" si="16"/>
        <v>242107.13</v>
      </c>
      <c r="BN63" s="6">
        <f t="shared" si="16"/>
        <v>242107.13</v>
      </c>
      <c r="BO63" s="6">
        <f t="shared" si="16"/>
        <v>229297.03</v>
      </c>
      <c r="BP63" s="6">
        <f t="shared" si="16"/>
        <v>229297.03</v>
      </c>
      <c r="BQ63" s="6">
        <f t="shared" si="16"/>
        <v>229297.03</v>
      </c>
      <c r="BR63" s="6">
        <f t="shared" si="16"/>
        <v>229297.03</v>
      </c>
      <c r="BS63" s="6">
        <f t="shared" si="16"/>
        <v>229297.03</v>
      </c>
      <c r="BT63" s="6">
        <f t="shared" si="16"/>
        <v>229297.03</v>
      </c>
      <c r="BU63" s="6">
        <f t="shared" si="16"/>
        <v>229297.03</v>
      </c>
      <c r="BV63" s="6">
        <f t="shared" si="16"/>
        <v>0</v>
      </c>
      <c r="BW63" s="6">
        <f t="shared" si="16"/>
        <v>0</v>
      </c>
      <c r="BX63" s="6">
        <f t="shared" si="16"/>
        <v>0</v>
      </c>
      <c r="BY63" s="6">
        <f t="shared" si="16"/>
        <v>0</v>
      </c>
      <c r="BZ63" s="6">
        <f t="shared" si="16"/>
        <v>0</v>
      </c>
      <c r="CA63" s="6">
        <f t="shared" si="16"/>
        <v>0</v>
      </c>
    </row>
    <row r="64" spans="1:79" x14ac:dyDescent="0.3">
      <c r="A64" s="5" t="s">
        <v>254</v>
      </c>
      <c r="B64" s="6">
        <f t="shared" ref="B64:BM64" si="17">B59+B63</f>
        <v>976.36</v>
      </c>
      <c r="C64" s="6">
        <f t="shared" si="17"/>
        <v>976.36</v>
      </c>
      <c r="D64" s="6">
        <f t="shared" si="17"/>
        <v>33943.68</v>
      </c>
      <c r="E64" s="6">
        <f t="shared" si="17"/>
        <v>33943.68</v>
      </c>
      <c r="F64" s="6">
        <f t="shared" si="17"/>
        <v>33943.68</v>
      </c>
      <c r="G64" s="6">
        <f t="shared" si="17"/>
        <v>88267.31</v>
      </c>
      <c r="H64" s="6">
        <f t="shared" si="17"/>
        <v>139606.71</v>
      </c>
      <c r="I64" s="6">
        <f t="shared" si="17"/>
        <v>139606.71</v>
      </c>
      <c r="J64" s="6">
        <f t="shared" si="17"/>
        <v>139606.71</v>
      </c>
      <c r="K64" s="6">
        <f t="shared" si="17"/>
        <v>97606.709999999992</v>
      </c>
      <c r="L64" s="6">
        <f t="shared" si="17"/>
        <v>97606.709999999992</v>
      </c>
      <c r="M64" s="6">
        <f t="shared" si="17"/>
        <v>97606.709999999992</v>
      </c>
      <c r="N64" s="6">
        <f t="shared" si="17"/>
        <v>97606.709999999992</v>
      </c>
      <c r="O64" s="6">
        <f t="shared" si="17"/>
        <v>130062.35999999999</v>
      </c>
      <c r="P64" s="6">
        <f t="shared" si="17"/>
        <v>130062.35999999999</v>
      </c>
      <c r="Q64" s="6">
        <f t="shared" si="17"/>
        <v>130062.35999999999</v>
      </c>
      <c r="R64" s="6">
        <f t="shared" si="17"/>
        <v>173971.44999999998</v>
      </c>
      <c r="S64" s="6">
        <f t="shared" si="17"/>
        <v>174426</v>
      </c>
      <c r="T64" s="6">
        <f t="shared" si="17"/>
        <v>174426</v>
      </c>
      <c r="U64" s="6">
        <f t="shared" si="17"/>
        <v>174426</v>
      </c>
      <c r="V64" s="6">
        <f t="shared" si="17"/>
        <v>174426</v>
      </c>
      <c r="W64" s="6">
        <f t="shared" si="17"/>
        <v>174426</v>
      </c>
      <c r="X64" s="6">
        <f t="shared" si="17"/>
        <v>174426</v>
      </c>
      <c r="Y64" s="6">
        <f t="shared" si="17"/>
        <v>174426</v>
      </c>
      <c r="Z64" s="6">
        <f t="shared" si="17"/>
        <v>178500.55</v>
      </c>
      <c r="AA64" s="6">
        <f t="shared" si="17"/>
        <v>188546</v>
      </c>
      <c r="AB64" s="6">
        <f t="shared" si="17"/>
        <v>188546</v>
      </c>
      <c r="AC64" s="6">
        <f t="shared" si="17"/>
        <v>229960.1</v>
      </c>
      <c r="AD64" s="6">
        <f t="shared" si="17"/>
        <v>229960.1</v>
      </c>
      <c r="AE64" s="6">
        <f t="shared" si="17"/>
        <v>229960.1</v>
      </c>
      <c r="AF64" s="6">
        <f t="shared" si="17"/>
        <v>229960.1</v>
      </c>
      <c r="AG64" s="6">
        <f t="shared" si="17"/>
        <v>233202.64</v>
      </c>
      <c r="AH64" s="6">
        <f t="shared" si="17"/>
        <v>233202.64</v>
      </c>
      <c r="AI64" s="6">
        <f t="shared" si="17"/>
        <v>233202.64</v>
      </c>
      <c r="AJ64" s="6">
        <f t="shared" si="17"/>
        <v>233277.64</v>
      </c>
      <c r="AK64" s="6">
        <f t="shared" si="17"/>
        <v>233352.64</v>
      </c>
      <c r="AL64" s="6">
        <f t="shared" si="17"/>
        <v>233352.64</v>
      </c>
      <c r="AM64" s="6">
        <f t="shared" si="17"/>
        <v>235930.83000000002</v>
      </c>
      <c r="AN64" s="6">
        <f t="shared" si="17"/>
        <v>235930.83000000002</v>
      </c>
      <c r="AO64" s="6">
        <f t="shared" si="17"/>
        <v>235930.83000000002</v>
      </c>
      <c r="AP64" s="6">
        <f t="shared" si="17"/>
        <v>276114.07</v>
      </c>
      <c r="AQ64" s="6">
        <f t="shared" si="17"/>
        <v>276114.07</v>
      </c>
      <c r="AR64" s="6">
        <f t="shared" si="17"/>
        <v>276114.07</v>
      </c>
      <c r="AS64" s="6">
        <f t="shared" si="17"/>
        <v>276114.07</v>
      </c>
      <c r="AT64" s="6">
        <f t="shared" si="17"/>
        <v>306914.63</v>
      </c>
      <c r="AU64" s="6">
        <f t="shared" si="17"/>
        <v>306914.63</v>
      </c>
      <c r="AV64" s="6">
        <f t="shared" si="17"/>
        <v>306914.63</v>
      </c>
      <c r="AW64" s="6">
        <f t="shared" si="17"/>
        <v>319150.92</v>
      </c>
      <c r="AX64" s="6">
        <f t="shared" si="17"/>
        <v>350077.43</v>
      </c>
      <c r="AY64" s="6">
        <f t="shared" si="17"/>
        <v>382991.47000000003</v>
      </c>
      <c r="AZ64" s="6">
        <f t="shared" si="17"/>
        <v>383072.33</v>
      </c>
      <c r="BA64" s="6">
        <f t="shared" si="17"/>
        <v>383072.33</v>
      </c>
      <c r="BB64" s="6">
        <f t="shared" si="17"/>
        <v>383072.33</v>
      </c>
      <c r="BC64" s="6">
        <f t="shared" si="17"/>
        <v>383072.33</v>
      </c>
      <c r="BD64" s="6">
        <f t="shared" si="17"/>
        <v>577271.25000000012</v>
      </c>
      <c r="BE64" s="6">
        <f t="shared" si="17"/>
        <v>819868.05000000016</v>
      </c>
      <c r="BF64" s="6">
        <f t="shared" si="17"/>
        <v>819868.05000000016</v>
      </c>
      <c r="BG64" s="6">
        <f t="shared" si="17"/>
        <v>926438.82000000018</v>
      </c>
      <c r="BH64" s="6">
        <f t="shared" si="17"/>
        <v>916802.83000000019</v>
      </c>
      <c r="BI64" s="6">
        <f t="shared" si="17"/>
        <v>969445.74000000022</v>
      </c>
      <c r="BJ64" s="6">
        <f t="shared" si="17"/>
        <v>991161.16000000015</v>
      </c>
      <c r="BK64" s="6">
        <f t="shared" si="17"/>
        <v>994159.16000000015</v>
      </c>
      <c r="BL64" s="6">
        <f t="shared" si="17"/>
        <v>1008926.1300000002</v>
      </c>
      <c r="BM64" s="6">
        <f t="shared" si="17"/>
        <v>1015244.2200000002</v>
      </c>
      <c r="BN64" s="6">
        <f t="shared" ref="BN64:CA64" si="18">BN59+BN63</f>
        <v>1015244.2200000002</v>
      </c>
      <c r="BO64" s="6">
        <f t="shared" si="18"/>
        <v>556215.75</v>
      </c>
      <c r="BP64" s="6">
        <f t="shared" si="18"/>
        <v>556351.27</v>
      </c>
      <c r="BQ64" s="6">
        <f t="shared" si="18"/>
        <v>556875.27</v>
      </c>
      <c r="BR64" s="6">
        <f t="shared" si="18"/>
        <v>556875.27</v>
      </c>
      <c r="BS64" s="6">
        <f t="shared" si="18"/>
        <v>600710.86</v>
      </c>
      <c r="BT64" s="6">
        <f t="shared" si="18"/>
        <v>600710.86</v>
      </c>
      <c r="BU64" s="6">
        <f t="shared" si="18"/>
        <v>600710.86</v>
      </c>
      <c r="BV64" s="6">
        <f t="shared" si="18"/>
        <v>371413.82999999996</v>
      </c>
      <c r="BW64" s="6">
        <f t="shared" si="18"/>
        <v>371413.82999999996</v>
      </c>
      <c r="BX64" s="6">
        <f t="shared" si="18"/>
        <v>371413.82999999996</v>
      </c>
      <c r="BY64" s="6">
        <f t="shared" si="18"/>
        <v>371413.82999999996</v>
      </c>
      <c r="BZ64" s="6">
        <f t="shared" si="18"/>
        <v>371413.82999999996</v>
      </c>
      <c r="CA64" s="6">
        <f t="shared" si="18"/>
        <v>371413.82999999996</v>
      </c>
    </row>
    <row r="65" spans="1:79" x14ac:dyDescent="0.3">
      <c r="A65" s="5" t="s">
        <v>255</v>
      </c>
      <c r="B65" s="6">
        <f t="shared" ref="B65:BM65" si="19">B30+B64</f>
        <v>289333.04000000004</v>
      </c>
      <c r="C65" s="6">
        <f t="shared" si="19"/>
        <v>279015.67</v>
      </c>
      <c r="D65" s="6">
        <f t="shared" si="19"/>
        <v>309746.59999999998</v>
      </c>
      <c r="E65" s="6">
        <f t="shared" si="19"/>
        <v>310264.34000000003</v>
      </c>
      <c r="F65" s="6">
        <f t="shared" si="19"/>
        <v>309622.80000000005</v>
      </c>
      <c r="G65" s="6">
        <f t="shared" si="19"/>
        <v>348846.15</v>
      </c>
      <c r="H65" s="6">
        <f t="shared" si="19"/>
        <v>405724.25</v>
      </c>
      <c r="I65" s="6">
        <f t="shared" si="19"/>
        <v>478988.86</v>
      </c>
      <c r="J65" s="6">
        <f t="shared" si="19"/>
        <v>444247.04999999993</v>
      </c>
      <c r="K65" s="6">
        <f t="shared" si="19"/>
        <v>434892.66000000003</v>
      </c>
      <c r="L65" s="6">
        <f t="shared" si="19"/>
        <v>472503.91000000003</v>
      </c>
      <c r="M65" s="6">
        <f t="shared" si="19"/>
        <v>473173.36</v>
      </c>
      <c r="N65" s="6">
        <f t="shared" si="19"/>
        <v>439106.35</v>
      </c>
      <c r="O65" s="6">
        <f t="shared" si="19"/>
        <v>507996.45999999996</v>
      </c>
      <c r="P65" s="6">
        <f t="shared" si="19"/>
        <v>561063.53</v>
      </c>
      <c r="Q65" s="6">
        <f t="shared" si="19"/>
        <v>506656.37</v>
      </c>
      <c r="R65" s="6">
        <f t="shared" si="19"/>
        <v>596131.55000000005</v>
      </c>
      <c r="S65" s="6">
        <f t="shared" si="19"/>
        <v>546025.12000000011</v>
      </c>
      <c r="T65" s="6">
        <f t="shared" si="19"/>
        <v>544853.68999999994</v>
      </c>
      <c r="U65" s="6">
        <f t="shared" si="19"/>
        <v>501099.22</v>
      </c>
      <c r="V65" s="6">
        <f t="shared" si="19"/>
        <v>504282.8</v>
      </c>
      <c r="W65" s="6">
        <f t="shared" si="19"/>
        <v>503061.18</v>
      </c>
      <c r="X65" s="6">
        <f t="shared" si="19"/>
        <v>478550.27999999997</v>
      </c>
      <c r="Y65" s="6">
        <f t="shared" si="19"/>
        <v>564065.5</v>
      </c>
      <c r="Z65" s="6">
        <f t="shared" si="19"/>
        <v>539605.07999999996</v>
      </c>
      <c r="AA65" s="6">
        <f t="shared" si="19"/>
        <v>522752.94</v>
      </c>
      <c r="AB65" s="6">
        <f t="shared" si="19"/>
        <v>597490.96000000008</v>
      </c>
      <c r="AC65" s="6">
        <f t="shared" si="19"/>
        <v>623050.29</v>
      </c>
      <c r="AD65" s="6">
        <f t="shared" si="19"/>
        <v>643298.05000000005</v>
      </c>
      <c r="AE65" s="6">
        <f t="shared" si="19"/>
        <v>703753.24</v>
      </c>
      <c r="AF65" s="6">
        <f t="shared" si="19"/>
        <v>670805.43999999994</v>
      </c>
      <c r="AG65" s="6">
        <f t="shared" si="19"/>
        <v>709201.02</v>
      </c>
      <c r="AH65" s="6">
        <f t="shared" si="19"/>
        <v>660720.71</v>
      </c>
      <c r="AI65" s="6">
        <f t="shared" si="19"/>
        <v>646117.43000000005</v>
      </c>
      <c r="AJ65" s="6">
        <f t="shared" si="19"/>
        <v>690055.64</v>
      </c>
      <c r="AK65" s="6">
        <f t="shared" si="19"/>
        <v>759833.18</v>
      </c>
      <c r="AL65" s="6">
        <f t="shared" si="19"/>
        <v>781448.26</v>
      </c>
      <c r="AM65" s="6">
        <f t="shared" si="19"/>
        <v>749659.67</v>
      </c>
      <c r="AN65" s="6">
        <f t="shared" si="19"/>
        <v>742261.96</v>
      </c>
      <c r="AO65" s="6">
        <f t="shared" si="19"/>
        <v>750204.94</v>
      </c>
      <c r="AP65" s="6">
        <f t="shared" si="19"/>
        <v>911872.48</v>
      </c>
      <c r="AQ65" s="6">
        <f t="shared" si="19"/>
        <v>902267.8</v>
      </c>
      <c r="AR65" s="6">
        <f t="shared" si="19"/>
        <v>888852.67000000016</v>
      </c>
      <c r="AS65" s="6">
        <f t="shared" si="19"/>
        <v>917189.8899999999</v>
      </c>
      <c r="AT65" s="6">
        <f t="shared" si="19"/>
        <v>971847.25999999989</v>
      </c>
      <c r="AU65" s="6">
        <f t="shared" si="19"/>
        <v>940285.7</v>
      </c>
      <c r="AV65" s="6">
        <f t="shared" si="19"/>
        <v>1006263.54</v>
      </c>
      <c r="AW65" s="6">
        <f t="shared" si="19"/>
        <v>955483.28</v>
      </c>
      <c r="AX65" s="6">
        <f t="shared" si="19"/>
        <v>1050444.9099999999</v>
      </c>
      <c r="AY65" s="6">
        <f t="shared" si="19"/>
        <v>1065412.8</v>
      </c>
      <c r="AZ65" s="6">
        <f t="shared" si="19"/>
        <v>1055372.6200000001</v>
      </c>
      <c r="BA65" s="6">
        <f t="shared" si="19"/>
        <v>1266999.3499999999</v>
      </c>
      <c r="BB65" s="6">
        <f t="shared" si="19"/>
        <v>1153019.05</v>
      </c>
      <c r="BC65" s="6">
        <f t="shared" si="19"/>
        <v>1242118.46</v>
      </c>
      <c r="BD65" s="6">
        <f t="shared" si="19"/>
        <v>1478747.29</v>
      </c>
      <c r="BE65" s="6">
        <f t="shared" si="19"/>
        <v>1657221.5800000003</v>
      </c>
      <c r="BF65" s="6">
        <f t="shared" si="19"/>
        <v>1576812.8800000001</v>
      </c>
      <c r="BG65" s="6">
        <f t="shared" si="19"/>
        <v>1593543.9100000001</v>
      </c>
      <c r="BH65" s="6">
        <f t="shared" si="19"/>
        <v>1522507.75</v>
      </c>
      <c r="BI65" s="6">
        <f t="shared" si="19"/>
        <v>1535197.2900000003</v>
      </c>
      <c r="BJ65" s="6">
        <f t="shared" si="19"/>
        <v>1465223.4700000002</v>
      </c>
      <c r="BK65" s="6">
        <f t="shared" si="19"/>
        <v>1409406.3900000001</v>
      </c>
      <c r="BL65" s="6">
        <f t="shared" si="19"/>
        <v>1456005.7700000003</v>
      </c>
      <c r="BM65" s="6">
        <f t="shared" si="19"/>
        <v>1426063.2400000002</v>
      </c>
      <c r="BN65" s="6">
        <f t="shared" ref="BN65:CA65" si="20">BN30+BN64</f>
        <v>1423304.4400000002</v>
      </c>
      <c r="BO65" s="6">
        <f t="shared" si="20"/>
        <v>931795.56</v>
      </c>
      <c r="BP65" s="6">
        <f t="shared" si="20"/>
        <v>881360.61</v>
      </c>
      <c r="BQ65" s="6">
        <f t="shared" si="20"/>
        <v>923760.1</v>
      </c>
      <c r="BR65" s="6">
        <f t="shared" si="20"/>
        <v>949525.3</v>
      </c>
      <c r="BS65" s="6">
        <f t="shared" si="20"/>
        <v>1053118.83</v>
      </c>
      <c r="BT65" s="6">
        <f t="shared" si="20"/>
        <v>1055251.08</v>
      </c>
      <c r="BU65" s="6">
        <f t="shared" si="20"/>
        <v>1045787.99</v>
      </c>
      <c r="BV65" s="6">
        <f t="shared" si="20"/>
        <v>844805.44</v>
      </c>
      <c r="BW65" s="6">
        <f t="shared" si="20"/>
        <v>840646.74</v>
      </c>
      <c r="BX65" s="6">
        <f t="shared" si="20"/>
        <v>895469.57000000007</v>
      </c>
      <c r="BY65" s="6">
        <f t="shared" si="20"/>
        <v>866584.61999999988</v>
      </c>
      <c r="BZ65" s="6">
        <f t="shared" si="20"/>
        <v>901936.61</v>
      </c>
      <c r="CA65" s="6">
        <f t="shared" si="20"/>
        <v>937928.94000000006</v>
      </c>
    </row>
    <row r="66" spans="1:79" x14ac:dyDescent="0.3">
      <c r="A66" s="13" t="s">
        <v>1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</row>
    <row r="67" spans="1:79" x14ac:dyDescent="0.3">
      <c r="A67" s="5" t="s">
        <v>256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</row>
    <row r="68" spans="1:79" x14ac:dyDescent="0.3">
      <c r="A68" s="5" t="s">
        <v>257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</row>
    <row r="69" spans="1:79" x14ac:dyDescent="0.3">
      <c r="A69" s="12" t="s">
        <v>257</v>
      </c>
      <c r="B69" s="10">
        <v>18203.82</v>
      </c>
      <c r="C69" s="10">
        <v>8753.44</v>
      </c>
      <c r="D69" s="10">
        <v>17457.150000000001</v>
      </c>
      <c r="E69" s="10">
        <v>19273.59</v>
      </c>
      <c r="F69" s="10">
        <v>18682.47</v>
      </c>
      <c r="G69" s="10">
        <v>89184.26</v>
      </c>
      <c r="H69" s="10">
        <v>25295.74</v>
      </c>
      <c r="I69" s="10">
        <v>19560.400000000001</v>
      </c>
      <c r="J69" s="10">
        <v>18851.55</v>
      </c>
      <c r="K69" s="10">
        <v>20829.82</v>
      </c>
      <c r="L69" s="10">
        <v>16864.54</v>
      </c>
      <c r="M69" s="10">
        <v>18001.73</v>
      </c>
      <c r="N69" s="10">
        <v>35008.94</v>
      </c>
      <c r="O69" s="10">
        <v>61839.4</v>
      </c>
      <c r="P69" s="10">
        <v>24802.97</v>
      </c>
      <c r="Q69" s="10">
        <v>20433.13</v>
      </c>
      <c r="R69" s="10">
        <v>46538.17</v>
      </c>
      <c r="S69" s="10">
        <v>24353.51</v>
      </c>
      <c r="T69" s="10">
        <v>12123.99</v>
      </c>
      <c r="U69" s="10">
        <v>16950.689999999999</v>
      </c>
      <c r="V69" s="10">
        <v>12768.85</v>
      </c>
      <c r="W69" s="10">
        <v>12834.57</v>
      </c>
      <c r="X69" s="10">
        <v>14634.6</v>
      </c>
      <c r="Y69" s="10">
        <v>12416.66</v>
      </c>
      <c r="Z69" s="10">
        <v>15481.13</v>
      </c>
      <c r="AA69" s="10">
        <v>27533.89</v>
      </c>
      <c r="AB69" s="10">
        <v>54184.59</v>
      </c>
      <c r="AC69" s="10">
        <v>76404.350000000006</v>
      </c>
      <c r="AD69" s="10">
        <v>75512.66</v>
      </c>
      <c r="AE69" s="10">
        <v>69820.12</v>
      </c>
      <c r="AF69" s="10">
        <v>24293.33</v>
      </c>
      <c r="AG69" s="10">
        <v>53348.71</v>
      </c>
      <c r="AH69" s="10">
        <v>28591.21</v>
      </c>
      <c r="AI69" s="10">
        <v>37118.720000000001</v>
      </c>
      <c r="AJ69" s="10">
        <v>54913.48</v>
      </c>
      <c r="AK69" s="10">
        <v>93843.82</v>
      </c>
      <c r="AL69" s="10">
        <v>82953.039999999994</v>
      </c>
      <c r="AM69" s="10">
        <v>96471.03</v>
      </c>
      <c r="AN69" s="10">
        <v>126513.23</v>
      </c>
      <c r="AO69" s="10">
        <v>161262.26999999999</v>
      </c>
      <c r="AP69" s="10">
        <v>137752.62</v>
      </c>
      <c r="AQ69" s="10">
        <v>138858.66</v>
      </c>
      <c r="AR69" s="10">
        <v>170542.23</v>
      </c>
      <c r="AS69" s="10">
        <v>146615.13</v>
      </c>
      <c r="AT69" s="10">
        <v>150333.21</v>
      </c>
      <c r="AU69" s="10">
        <v>85400.639999999999</v>
      </c>
      <c r="AV69" s="10">
        <v>104532.86</v>
      </c>
      <c r="AW69" s="10">
        <v>69455.77</v>
      </c>
      <c r="AX69" s="10">
        <v>144963.09</v>
      </c>
      <c r="AY69" s="10">
        <v>146920.35</v>
      </c>
      <c r="AZ69" s="10">
        <v>272657.49</v>
      </c>
      <c r="BA69" s="10">
        <v>241031.02</v>
      </c>
      <c r="BB69" s="10">
        <v>236250.45</v>
      </c>
      <c r="BC69" s="10">
        <v>327470.90999999997</v>
      </c>
      <c r="BD69" s="10">
        <v>485483.63</v>
      </c>
      <c r="BE69" s="10">
        <v>670297.56999999995</v>
      </c>
      <c r="BF69" s="10">
        <v>504789.95</v>
      </c>
      <c r="BG69" s="10">
        <v>314074.07</v>
      </c>
      <c r="BH69" s="10">
        <v>235453.44</v>
      </c>
      <c r="BI69" s="10">
        <v>278058.23999999999</v>
      </c>
      <c r="BJ69" s="10">
        <v>277756.56</v>
      </c>
      <c r="BK69" s="10">
        <v>217363.14</v>
      </c>
      <c r="BL69" s="10">
        <v>157564.38</v>
      </c>
      <c r="BM69" s="10">
        <v>194236.49</v>
      </c>
      <c r="BN69" s="10">
        <v>171480.64</v>
      </c>
      <c r="BO69" s="10">
        <v>186435.26</v>
      </c>
      <c r="BP69" s="10">
        <v>219155.54</v>
      </c>
      <c r="BQ69" s="10">
        <v>272517.28000000003</v>
      </c>
      <c r="BR69" s="10">
        <v>293490.61</v>
      </c>
      <c r="BS69" s="10">
        <v>316884.57</v>
      </c>
      <c r="BT69" s="10">
        <v>339198.36</v>
      </c>
      <c r="BU69" s="10">
        <v>377799.91</v>
      </c>
      <c r="BV69" s="10">
        <v>367830.99</v>
      </c>
      <c r="BW69" s="10">
        <v>109792.03</v>
      </c>
      <c r="BX69" s="10">
        <v>160830.85999999999</v>
      </c>
      <c r="BY69" s="10">
        <v>71467.28</v>
      </c>
      <c r="BZ69" s="10">
        <v>91174.45</v>
      </c>
      <c r="CA69" s="10">
        <v>110867.84</v>
      </c>
    </row>
    <row r="70" spans="1:79" x14ac:dyDescent="0.3">
      <c r="A70" s="5" t="s">
        <v>258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</row>
    <row r="71" spans="1:79" x14ac:dyDescent="0.3">
      <c r="A71" s="12" t="s">
        <v>259</v>
      </c>
      <c r="B71" s="10">
        <v>16194.48</v>
      </c>
      <c r="C71" s="10">
        <v>16194.48</v>
      </c>
      <c r="D71" s="10">
        <v>11903.48</v>
      </c>
      <c r="E71" s="10">
        <v>-4291</v>
      </c>
      <c r="F71" s="10">
        <v>-4291</v>
      </c>
      <c r="G71" s="10">
        <v>-8582</v>
      </c>
      <c r="H71" s="10">
        <v>-8582</v>
      </c>
      <c r="I71" s="10">
        <v>-8582</v>
      </c>
      <c r="J71" s="10">
        <v>-12833</v>
      </c>
      <c r="K71" s="10">
        <v>-12833</v>
      </c>
      <c r="L71" s="10">
        <v>-12833</v>
      </c>
      <c r="M71" s="10">
        <v>-17084</v>
      </c>
      <c r="N71" s="10">
        <v>-17084</v>
      </c>
      <c r="O71" s="10">
        <v>-17084</v>
      </c>
      <c r="P71" s="10">
        <v>-35127</v>
      </c>
      <c r="Q71" s="10">
        <v>-35127</v>
      </c>
      <c r="R71" s="10">
        <v>-35127</v>
      </c>
      <c r="S71" s="10">
        <v>-69101.399999999994</v>
      </c>
      <c r="T71" s="10">
        <v>-69101.399999999994</v>
      </c>
      <c r="U71" s="10">
        <v>-69101.399999999994</v>
      </c>
      <c r="V71" s="10">
        <v>-77068.399999999994</v>
      </c>
      <c r="W71" s="10">
        <v>-77068.399999999994</v>
      </c>
      <c r="X71" s="10">
        <v>-77068.399999999994</v>
      </c>
      <c r="Y71" s="10">
        <v>-85035.4</v>
      </c>
      <c r="Z71" s="10">
        <v>-85035.4</v>
      </c>
      <c r="AA71" s="10">
        <v>-85035.4</v>
      </c>
      <c r="AB71" s="10">
        <v>-68795.850000000006</v>
      </c>
      <c r="AC71" s="10">
        <v>-68795.850000000006</v>
      </c>
      <c r="AD71" s="10">
        <v>-68795.850000000006</v>
      </c>
      <c r="AE71" s="10">
        <v>-76762.850000000006</v>
      </c>
      <c r="AF71" s="10">
        <v>-76762.850000000006</v>
      </c>
      <c r="AG71" s="10">
        <v>-76762.850000000006</v>
      </c>
      <c r="AH71" s="10">
        <v>-79304.850000000006</v>
      </c>
      <c r="AI71" s="10">
        <v>-79304.850000000006</v>
      </c>
      <c r="AJ71" s="10">
        <v>-79304.850000000006</v>
      </c>
      <c r="AK71" s="10">
        <v>-81846.850000000006</v>
      </c>
      <c r="AL71" s="10">
        <v>-81846.850000000006</v>
      </c>
      <c r="AM71" s="10">
        <v>-81846.850000000006</v>
      </c>
      <c r="AN71" s="10">
        <v>-84388.85</v>
      </c>
      <c r="AO71" s="10">
        <v>-84388.85</v>
      </c>
      <c r="AP71" s="10">
        <v>-73027.05</v>
      </c>
      <c r="AQ71" s="10">
        <v>-85117.05</v>
      </c>
      <c r="AR71" s="10">
        <v>-85117.05</v>
      </c>
      <c r="AS71" s="10">
        <v>-85117.05</v>
      </c>
      <c r="AT71" s="10">
        <v>-90144.05</v>
      </c>
      <c r="AU71" s="10">
        <v>-90144.05</v>
      </c>
      <c r="AV71" s="10">
        <v>-90144.05</v>
      </c>
      <c r="AW71" s="10">
        <v>-95171.05</v>
      </c>
      <c r="AX71" s="10">
        <v>-95171.05</v>
      </c>
      <c r="AY71" s="10">
        <v>-129305.56</v>
      </c>
      <c r="AZ71" s="10">
        <v>-160258.56</v>
      </c>
      <c r="BA71" s="10">
        <v>-160258.56</v>
      </c>
      <c r="BB71" s="10">
        <v>-160258.56</v>
      </c>
      <c r="BC71" s="10">
        <v>-173927.56</v>
      </c>
      <c r="BD71" s="10">
        <v>-174742.56</v>
      </c>
      <c r="BE71" s="10">
        <v>-175563.67</v>
      </c>
      <c r="BF71" s="10">
        <v>-189768.67</v>
      </c>
      <c r="BG71" s="10">
        <v>-189768.67</v>
      </c>
      <c r="BH71" s="10">
        <v>-190622.02</v>
      </c>
      <c r="BI71" s="10">
        <v>-204827.02</v>
      </c>
      <c r="BJ71" s="10">
        <v>-204827.02</v>
      </c>
      <c r="BK71" s="10">
        <v>-204827.02</v>
      </c>
      <c r="BL71" s="10">
        <v>-219885.37</v>
      </c>
      <c r="BM71" s="10">
        <v>-219885.37</v>
      </c>
      <c r="BN71" s="10">
        <v>-220738.72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-12381</v>
      </c>
      <c r="BY71" s="10">
        <v>-12381</v>
      </c>
      <c r="BZ71" s="10">
        <v>-12381</v>
      </c>
      <c r="CA71" s="10">
        <v>-12381</v>
      </c>
    </row>
    <row r="72" spans="1:79" x14ac:dyDescent="0.3">
      <c r="A72" s="12" t="s">
        <v>260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-11280</v>
      </c>
      <c r="AS72" s="10">
        <v>-729</v>
      </c>
      <c r="AT72" s="10">
        <v>6667</v>
      </c>
      <c r="AU72" s="10">
        <v>6667</v>
      </c>
      <c r="AV72" s="10">
        <v>6667</v>
      </c>
      <c r="AW72" s="10">
        <v>6667</v>
      </c>
      <c r="AX72" s="10">
        <v>57847</v>
      </c>
      <c r="AY72" s="10">
        <v>57847</v>
      </c>
      <c r="AZ72" s="10">
        <v>57847</v>
      </c>
      <c r="BA72" s="10">
        <v>57847</v>
      </c>
      <c r="BB72" s="10">
        <v>57847</v>
      </c>
      <c r="BC72" s="10">
        <v>57847</v>
      </c>
      <c r="BD72" s="10">
        <v>57847</v>
      </c>
      <c r="BE72" s="10">
        <v>57847</v>
      </c>
      <c r="BF72" s="10">
        <v>57847</v>
      </c>
      <c r="BG72" s="10">
        <v>57847</v>
      </c>
      <c r="BH72" s="10">
        <v>57847</v>
      </c>
      <c r="BI72" s="10">
        <v>57847</v>
      </c>
      <c r="BJ72" s="10">
        <v>57847</v>
      </c>
      <c r="BK72" s="10">
        <v>57847</v>
      </c>
      <c r="BL72" s="10">
        <v>57847</v>
      </c>
      <c r="BM72" s="10">
        <v>57847</v>
      </c>
      <c r="BN72" s="10">
        <v>57847</v>
      </c>
      <c r="BO72" s="10">
        <v>-49523</v>
      </c>
      <c r="BP72" s="10">
        <v>-49523</v>
      </c>
      <c r="BQ72" s="10">
        <v>-49523</v>
      </c>
      <c r="BR72" s="10">
        <v>-61904</v>
      </c>
      <c r="BS72" s="10">
        <v>-61904</v>
      </c>
      <c r="BT72" s="10">
        <v>-61904</v>
      </c>
      <c r="BU72" s="10">
        <v>-74285</v>
      </c>
      <c r="BV72" s="10">
        <v>-74285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</row>
    <row r="73" spans="1:79" x14ac:dyDescent="0.3">
      <c r="A73" s="5" t="s">
        <v>261</v>
      </c>
      <c r="B73" s="6">
        <f t="shared" ref="B73:BM73" si="21">SUM(B71:B72)</f>
        <v>16194.48</v>
      </c>
      <c r="C73" s="6">
        <f t="shared" si="21"/>
        <v>16194.48</v>
      </c>
      <c r="D73" s="6">
        <f t="shared" si="21"/>
        <v>11903.48</v>
      </c>
      <c r="E73" s="6">
        <f t="shared" si="21"/>
        <v>-4291</v>
      </c>
      <c r="F73" s="6">
        <f t="shared" si="21"/>
        <v>-4291</v>
      </c>
      <c r="G73" s="6">
        <f t="shared" si="21"/>
        <v>-8582</v>
      </c>
      <c r="H73" s="6">
        <f t="shared" si="21"/>
        <v>-8582</v>
      </c>
      <c r="I73" s="6">
        <f t="shared" si="21"/>
        <v>-8582</v>
      </c>
      <c r="J73" s="6">
        <f t="shared" si="21"/>
        <v>-12833</v>
      </c>
      <c r="K73" s="6">
        <f t="shared" si="21"/>
        <v>-12833</v>
      </c>
      <c r="L73" s="6">
        <f t="shared" si="21"/>
        <v>-12833</v>
      </c>
      <c r="M73" s="6">
        <f t="shared" si="21"/>
        <v>-17084</v>
      </c>
      <c r="N73" s="6">
        <f t="shared" si="21"/>
        <v>-17084</v>
      </c>
      <c r="O73" s="6">
        <f t="shared" si="21"/>
        <v>-17084</v>
      </c>
      <c r="P73" s="6">
        <f t="shared" si="21"/>
        <v>-35127</v>
      </c>
      <c r="Q73" s="6">
        <f t="shared" si="21"/>
        <v>-35127</v>
      </c>
      <c r="R73" s="6">
        <f t="shared" si="21"/>
        <v>-35127</v>
      </c>
      <c r="S73" s="6">
        <f t="shared" si="21"/>
        <v>-69101.399999999994</v>
      </c>
      <c r="T73" s="6">
        <f t="shared" si="21"/>
        <v>-69101.399999999994</v>
      </c>
      <c r="U73" s="6">
        <f t="shared" si="21"/>
        <v>-69101.399999999994</v>
      </c>
      <c r="V73" s="6">
        <f t="shared" si="21"/>
        <v>-77068.399999999994</v>
      </c>
      <c r="W73" s="6">
        <f t="shared" si="21"/>
        <v>-77068.399999999994</v>
      </c>
      <c r="X73" s="6">
        <f t="shared" si="21"/>
        <v>-77068.399999999994</v>
      </c>
      <c r="Y73" s="6">
        <f t="shared" si="21"/>
        <v>-85035.4</v>
      </c>
      <c r="Z73" s="6">
        <f t="shared" si="21"/>
        <v>-85035.4</v>
      </c>
      <c r="AA73" s="6">
        <f t="shared" si="21"/>
        <v>-85035.4</v>
      </c>
      <c r="AB73" s="6">
        <f t="shared" si="21"/>
        <v>-68795.850000000006</v>
      </c>
      <c r="AC73" s="6">
        <f t="shared" si="21"/>
        <v>-68795.850000000006</v>
      </c>
      <c r="AD73" s="6">
        <f t="shared" si="21"/>
        <v>-68795.850000000006</v>
      </c>
      <c r="AE73" s="6">
        <f t="shared" si="21"/>
        <v>-76762.850000000006</v>
      </c>
      <c r="AF73" s="6">
        <f t="shared" si="21"/>
        <v>-76762.850000000006</v>
      </c>
      <c r="AG73" s="6">
        <f t="shared" si="21"/>
        <v>-76762.850000000006</v>
      </c>
      <c r="AH73" s="6">
        <f t="shared" si="21"/>
        <v>-79304.850000000006</v>
      </c>
      <c r="AI73" s="6">
        <f t="shared" si="21"/>
        <v>-79304.850000000006</v>
      </c>
      <c r="AJ73" s="6">
        <f t="shared" si="21"/>
        <v>-79304.850000000006</v>
      </c>
      <c r="AK73" s="6">
        <f t="shared" si="21"/>
        <v>-81846.850000000006</v>
      </c>
      <c r="AL73" s="6">
        <f t="shared" si="21"/>
        <v>-81846.850000000006</v>
      </c>
      <c r="AM73" s="6">
        <f t="shared" si="21"/>
        <v>-81846.850000000006</v>
      </c>
      <c r="AN73" s="6">
        <f t="shared" si="21"/>
        <v>-84388.85</v>
      </c>
      <c r="AO73" s="6">
        <f t="shared" si="21"/>
        <v>-84388.85</v>
      </c>
      <c r="AP73" s="6">
        <f t="shared" si="21"/>
        <v>-73027.05</v>
      </c>
      <c r="AQ73" s="6">
        <f t="shared" si="21"/>
        <v>-85117.05</v>
      </c>
      <c r="AR73" s="6">
        <f t="shared" si="21"/>
        <v>-96397.05</v>
      </c>
      <c r="AS73" s="6">
        <f t="shared" si="21"/>
        <v>-85846.05</v>
      </c>
      <c r="AT73" s="6">
        <f t="shared" si="21"/>
        <v>-83477.05</v>
      </c>
      <c r="AU73" s="6">
        <f t="shared" si="21"/>
        <v>-83477.05</v>
      </c>
      <c r="AV73" s="6">
        <f t="shared" si="21"/>
        <v>-83477.05</v>
      </c>
      <c r="AW73" s="6">
        <f t="shared" si="21"/>
        <v>-88504.05</v>
      </c>
      <c r="AX73" s="6">
        <f t="shared" si="21"/>
        <v>-37324.050000000003</v>
      </c>
      <c r="AY73" s="6">
        <f t="shared" si="21"/>
        <v>-71458.559999999998</v>
      </c>
      <c r="AZ73" s="6">
        <f t="shared" si="21"/>
        <v>-102411.56</v>
      </c>
      <c r="BA73" s="6">
        <f t="shared" si="21"/>
        <v>-102411.56</v>
      </c>
      <c r="BB73" s="6">
        <f t="shared" si="21"/>
        <v>-102411.56</v>
      </c>
      <c r="BC73" s="6">
        <f t="shared" si="21"/>
        <v>-116080.56</v>
      </c>
      <c r="BD73" s="6">
        <f t="shared" si="21"/>
        <v>-116895.56</v>
      </c>
      <c r="BE73" s="6">
        <f t="shared" si="21"/>
        <v>-117716.67000000001</v>
      </c>
      <c r="BF73" s="6">
        <f t="shared" si="21"/>
        <v>-131921.67000000001</v>
      </c>
      <c r="BG73" s="6">
        <f t="shared" si="21"/>
        <v>-131921.67000000001</v>
      </c>
      <c r="BH73" s="6">
        <f t="shared" si="21"/>
        <v>-132775.01999999999</v>
      </c>
      <c r="BI73" s="6">
        <f t="shared" si="21"/>
        <v>-146980.01999999999</v>
      </c>
      <c r="BJ73" s="6">
        <f t="shared" si="21"/>
        <v>-146980.01999999999</v>
      </c>
      <c r="BK73" s="6">
        <f t="shared" si="21"/>
        <v>-146980.01999999999</v>
      </c>
      <c r="BL73" s="6">
        <f t="shared" si="21"/>
        <v>-162038.37</v>
      </c>
      <c r="BM73" s="6">
        <f t="shared" si="21"/>
        <v>-162038.37</v>
      </c>
      <c r="BN73" s="6">
        <f t="shared" ref="BN73:CA73" si="22">SUM(BN71:BN72)</f>
        <v>-162891.72</v>
      </c>
      <c r="BO73" s="6">
        <f t="shared" si="22"/>
        <v>-49523</v>
      </c>
      <c r="BP73" s="6">
        <f t="shared" si="22"/>
        <v>-49523</v>
      </c>
      <c r="BQ73" s="6">
        <f t="shared" si="22"/>
        <v>-49523</v>
      </c>
      <c r="BR73" s="6">
        <f t="shared" si="22"/>
        <v>-61904</v>
      </c>
      <c r="BS73" s="6">
        <f t="shared" si="22"/>
        <v>-61904</v>
      </c>
      <c r="BT73" s="6">
        <f t="shared" si="22"/>
        <v>-61904</v>
      </c>
      <c r="BU73" s="6">
        <f t="shared" si="22"/>
        <v>-74285</v>
      </c>
      <c r="BV73" s="6">
        <f t="shared" si="22"/>
        <v>-74285</v>
      </c>
      <c r="BW73" s="6">
        <f t="shared" si="22"/>
        <v>0</v>
      </c>
      <c r="BX73" s="6">
        <f t="shared" si="22"/>
        <v>-12381</v>
      </c>
      <c r="BY73" s="6">
        <f t="shared" si="22"/>
        <v>-12381</v>
      </c>
      <c r="BZ73" s="6">
        <f t="shared" si="22"/>
        <v>-12381</v>
      </c>
      <c r="CA73" s="6">
        <f t="shared" si="22"/>
        <v>-12381</v>
      </c>
    </row>
    <row r="74" spans="1:79" x14ac:dyDescent="0.3">
      <c r="A74" s="5" t="s">
        <v>262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</row>
    <row r="75" spans="1:79" x14ac:dyDescent="0.3">
      <c r="A75" s="7" t="s">
        <v>263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</row>
    <row r="76" spans="1:79" x14ac:dyDescent="0.3">
      <c r="A76" s="9" t="s">
        <v>264</v>
      </c>
      <c r="B76" s="10">
        <v>10146.23</v>
      </c>
      <c r="C76" s="10">
        <v>13012.33</v>
      </c>
      <c r="D76" s="10">
        <v>6820.65</v>
      </c>
      <c r="E76" s="10">
        <v>10018.540000000001</v>
      </c>
      <c r="F76" s="10">
        <v>11357.52</v>
      </c>
      <c r="G76" s="10">
        <v>1521.75</v>
      </c>
      <c r="H76" s="10">
        <v>9232.33</v>
      </c>
      <c r="I76" s="10">
        <v>18668.759999999998</v>
      </c>
      <c r="J76" s="10">
        <v>14590.12</v>
      </c>
      <c r="K76" s="10">
        <v>15904.9</v>
      </c>
      <c r="L76" s="10">
        <v>24056.51</v>
      </c>
      <c r="M76" s="10">
        <v>10371.49</v>
      </c>
      <c r="N76" s="10">
        <v>8690.1200000000008</v>
      </c>
      <c r="O76" s="10">
        <v>12488.99</v>
      </c>
      <c r="P76" s="10">
        <v>13542.2</v>
      </c>
      <c r="Q76" s="10">
        <v>11613.34</v>
      </c>
      <c r="R76" s="10">
        <v>13295.17</v>
      </c>
      <c r="S76" s="10">
        <v>8365.99</v>
      </c>
      <c r="T76" s="10">
        <v>9713.6200000000008</v>
      </c>
      <c r="U76" s="10">
        <v>18050.38</v>
      </c>
      <c r="V76" s="10">
        <v>8692.2000000000007</v>
      </c>
      <c r="W76" s="10">
        <v>9374.26</v>
      </c>
      <c r="X76" s="10">
        <v>11672.1</v>
      </c>
      <c r="Y76" s="10">
        <v>13213.12</v>
      </c>
      <c r="Z76" s="10">
        <v>11624.69</v>
      </c>
      <c r="AA76" s="10">
        <v>12939.74</v>
      </c>
      <c r="AB76" s="10">
        <v>12176.39</v>
      </c>
      <c r="AC76" s="10">
        <v>7526.13</v>
      </c>
      <c r="AD76" s="10">
        <v>13900.71</v>
      </c>
      <c r="AE76" s="10">
        <v>14978.58</v>
      </c>
      <c r="AF76" s="10">
        <v>22648.97</v>
      </c>
      <c r="AG76" s="10">
        <v>29007.67</v>
      </c>
      <c r="AH76" s="10">
        <v>22266.74</v>
      </c>
      <c r="AI76" s="10">
        <v>23203.32</v>
      </c>
      <c r="AJ76" s="10">
        <v>28742.58</v>
      </c>
      <c r="AK76" s="10">
        <v>21736.63</v>
      </c>
      <c r="AL76" s="10">
        <v>27746.84</v>
      </c>
      <c r="AM76" s="10">
        <v>31939.94</v>
      </c>
      <c r="AN76" s="10">
        <v>21879.29</v>
      </c>
      <c r="AO76" s="10">
        <v>23587.39</v>
      </c>
      <c r="AP76" s="10">
        <v>36592.35</v>
      </c>
      <c r="AQ76" s="10">
        <v>22813.77</v>
      </c>
      <c r="AR76" s="10">
        <v>23144.28</v>
      </c>
      <c r="AS76" s="10">
        <v>33618.42</v>
      </c>
      <c r="AT76" s="10">
        <v>24691.27</v>
      </c>
      <c r="AU76" s="10">
        <v>34602.370000000003</v>
      </c>
      <c r="AV76" s="10">
        <v>43856.04</v>
      </c>
      <c r="AW76" s="10">
        <v>32810.870000000003</v>
      </c>
      <c r="AX76" s="10">
        <v>45603.45</v>
      </c>
      <c r="AY76" s="10">
        <v>52132.19</v>
      </c>
      <c r="AZ76" s="10">
        <v>24527.07</v>
      </c>
      <c r="BA76" s="10">
        <v>54965.45</v>
      </c>
      <c r="BB76" s="10">
        <v>56951.68</v>
      </c>
      <c r="BC76" s="10">
        <v>-13290.99</v>
      </c>
      <c r="BD76" s="10">
        <v>-15915.16</v>
      </c>
      <c r="BE76" s="10">
        <v>-24604.1</v>
      </c>
      <c r="BF76" s="10">
        <v>-39741.370000000003</v>
      </c>
      <c r="BG76" s="10">
        <v>-20870.13</v>
      </c>
      <c r="BH76" s="10">
        <v>-13002.76</v>
      </c>
      <c r="BI76" s="10">
        <v>-75141.37</v>
      </c>
      <c r="BJ76" s="10">
        <v>-73803.62</v>
      </c>
      <c r="BK76" s="10">
        <v>-67170.06</v>
      </c>
      <c r="BL76" s="10">
        <v>-100528.91</v>
      </c>
      <c r="BM76" s="10">
        <v>-101045.05</v>
      </c>
      <c r="BN76" s="10">
        <v>-91107.74</v>
      </c>
      <c r="BO76" s="10">
        <v>35100.79</v>
      </c>
      <c r="BP76" s="10">
        <v>38014.949999999997</v>
      </c>
      <c r="BQ76" s="10">
        <v>45641.120000000003</v>
      </c>
      <c r="BR76" s="10">
        <v>43179.67</v>
      </c>
      <c r="BS76" s="10">
        <v>53470.17</v>
      </c>
      <c r="BT76" s="10">
        <v>61334.35</v>
      </c>
      <c r="BU76" s="10">
        <v>47281.919999999998</v>
      </c>
      <c r="BV76" s="10">
        <v>64537.72</v>
      </c>
      <c r="BW76" s="10">
        <v>43593.78</v>
      </c>
      <c r="BX76" s="10">
        <v>25834.86</v>
      </c>
      <c r="BY76" s="10">
        <v>33128.959999999999</v>
      </c>
      <c r="BZ76" s="10">
        <v>42496.61</v>
      </c>
      <c r="CA76" s="10">
        <v>32005.200000000001</v>
      </c>
    </row>
    <row r="77" spans="1:79" x14ac:dyDescent="0.3">
      <c r="A77" s="9" t="s">
        <v>265</v>
      </c>
      <c r="B77" s="10">
        <v>1938.34</v>
      </c>
      <c r="C77" s="10">
        <v>4398.34</v>
      </c>
      <c r="D77" s="10">
        <v>28.34</v>
      </c>
      <c r="E77" s="10">
        <v>3599.34</v>
      </c>
      <c r="F77" s="10">
        <v>6457.34</v>
      </c>
      <c r="G77" s="10">
        <v>28.34</v>
      </c>
      <c r="H77" s="10">
        <v>4518.34</v>
      </c>
      <c r="I77" s="10">
        <v>7436.34</v>
      </c>
      <c r="J77" s="10">
        <v>28.34</v>
      </c>
      <c r="K77" s="10">
        <v>5672.34</v>
      </c>
      <c r="L77" s="10">
        <v>10760.34</v>
      </c>
      <c r="M77" s="10">
        <v>28.34</v>
      </c>
      <c r="N77" s="10">
        <v>6291.34</v>
      </c>
      <c r="O77" s="10">
        <v>12581.34</v>
      </c>
      <c r="P77" s="10">
        <v>28.34</v>
      </c>
      <c r="Q77" s="10">
        <v>6558.34</v>
      </c>
      <c r="R77" s="10">
        <v>11429.34</v>
      </c>
      <c r="S77" s="10">
        <v>28.34</v>
      </c>
      <c r="T77" s="10">
        <v>4453.34</v>
      </c>
      <c r="U77" s="10">
        <v>9963.34</v>
      </c>
      <c r="V77" s="10">
        <v>28.34</v>
      </c>
      <c r="W77" s="10">
        <v>4322.34</v>
      </c>
      <c r="X77" s="10">
        <v>8643.34</v>
      </c>
      <c r="Y77" s="10">
        <v>28.34</v>
      </c>
      <c r="Z77" s="10">
        <v>3868.34</v>
      </c>
      <c r="AA77" s="10">
        <v>9781.34</v>
      </c>
      <c r="AB77" s="10">
        <v>28.34</v>
      </c>
      <c r="AC77" s="10">
        <v>7160.34</v>
      </c>
      <c r="AD77" s="10">
        <v>15526.34</v>
      </c>
      <c r="AE77" s="10">
        <v>28.34</v>
      </c>
      <c r="AF77" s="10">
        <v>8248.34</v>
      </c>
      <c r="AG77" s="10">
        <v>18382.34</v>
      </c>
      <c r="AH77" s="10">
        <v>28.34</v>
      </c>
      <c r="AI77" s="10">
        <v>3937.34</v>
      </c>
      <c r="AJ77" s="10">
        <v>10712.34</v>
      </c>
      <c r="AK77" s="10">
        <v>28.34</v>
      </c>
      <c r="AL77" s="10">
        <v>9788.34</v>
      </c>
      <c r="AM77" s="10">
        <v>18413.34</v>
      </c>
      <c r="AN77" s="10">
        <v>28.34</v>
      </c>
      <c r="AO77" s="10">
        <v>9079.34</v>
      </c>
      <c r="AP77" s="10">
        <v>19138.34</v>
      </c>
      <c r="AQ77" s="10">
        <v>28.34</v>
      </c>
      <c r="AR77" s="10">
        <v>28.34</v>
      </c>
      <c r="AS77" s="10">
        <v>28.34</v>
      </c>
      <c r="AT77" s="10">
        <v>28.34</v>
      </c>
      <c r="AU77" s="10">
        <v>28.34</v>
      </c>
      <c r="AV77" s="10">
        <v>28.34</v>
      </c>
      <c r="AW77" s="10">
        <v>28.34</v>
      </c>
      <c r="AX77" s="10">
        <v>28.34</v>
      </c>
      <c r="AY77" s="10">
        <v>-11.66</v>
      </c>
      <c r="AZ77" s="10">
        <v>-11.66</v>
      </c>
      <c r="BA77" s="10">
        <v>-11.66</v>
      </c>
      <c r="BB77" s="10">
        <v>-11.66</v>
      </c>
      <c r="BC77" s="10">
        <v>-11.66</v>
      </c>
      <c r="BD77" s="10">
        <v>-11.66</v>
      </c>
      <c r="BE77" s="10">
        <v>-11.66</v>
      </c>
      <c r="BF77" s="10">
        <v>-11.66</v>
      </c>
      <c r="BG77" s="10">
        <v>-11.66</v>
      </c>
      <c r="BH77" s="10">
        <v>-11.66</v>
      </c>
      <c r="BI77" s="10">
        <v>-11.66</v>
      </c>
      <c r="BJ77" s="10">
        <v>-11.66</v>
      </c>
      <c r="BK77" s="10">
        <v>-11.66</v>
      </c>
      <c r="BL77" s="10">
        <v>-11.66</v>
      </c>
      <c r="BM77" s="10">
        <v>-11.66</v>
      </c>
      <c r="BN77" s="10">
        <v>-11.66</v>
      </c>
      <c r="BO77" s="10">
        <v>14929</v>
      </c>
      <c r="BP77" s="10">
        <v>-2824</v>
      </c>
      <c r="BQ77" s="10">
        <v>-18759</v>
      </c>
      <c r="BR77" s="10">
        <v>-38686</v>
      </c>
      <c r="BS77" s="10">
        <v>-57405</v>
      </c>
      <c r="BT77" s="10">
        <v>-74137</v>
      </c>
      <c r="BU77" s="10">
        <v>-95894</v>
      </c>
      <c r="BV77" s="10">
        <v>-112678</v>
      </c>
      <c r="BW77" s="10">
        <v>-143818</v>
      </c>
      <c r="BX77" s="10">
        <v>-164191</v>
      </c>
      <c r="BY77" s="10">
        <v>-164191</v>
      </c>
      <c r="BZ77" s="10">
        <v>-164191</v>
      </c>
      <c r="CA77" s="10">
        <v>-164191</v>
      </c>
    </row>
    <row r="78" spans="1:79" x14ac:dyDescent="0.3">
      <c r="A78" s="9" t="s">
        <v>266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105364.53</v>
      </c>
      <c r="BM78" s="10">
        <v>97364.53</v>
      </c>
      <c r="BN78" s="10">
        <v>87364.53</v>
      </c>
      <c r="BO78" s="10">
        <v>0</v>
      </c>
      <c r="BP78" s="10">
        <v>-8000</v>
      </c>
      <c r="BQ78" s="10">
        <v>-18000</v>
      </c>
      <c r="BR78" s="10">
        <v>-22000</v>
      </c>
      <c r="BS78" s="10">
        <v>-30000</v>
      </c>
      <c r="BT78" s="10">
        <v>-38000</v>
      </c>
      <c r="BU78" s="10">
        <v>-48000</v>
      </c>
      <c r="BV78" s="10">
        <v>-49092</v>
      </c>
      <c r="BW78" s="10">
        <v>0</v>
      </c>
      <c r="BX78" s="10">
        <v>0</v>
      </c>
      <c r="BY78" s="10">
        <v>-2000</v>
      </c>
      <c r="BZ78" s="10">
        <v>-2000</v>
      </c>
      <c r="CA78" s="10">
        <v>-2000</v>
      </c>
    </row>
    <row r="79" spans="1:79" x14ac:dyDescent="0.3">
      <c r="A79" s="9" t="s">
        <v>267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42567.87</v>
      </c>
      <c r="BP79" s="10">
        <v>42567.87</v>
      </c>
      <c r="BQ79" s="10">
        <v>42567.87</v>
      </c>
      <c r="BR79" s="10">
        <v>42567.87</v>
      </c>
      <c r="BS79" s="10">
        <v>42567.87</v>
      </c>
      <c r="BT79" s="10">
        <v>42567.87</v>
      </c>
      <c r="BU79" s="10">
        <v>42567.87</v>
      </c>
      <c r="BV79" s="10">
        <v>42567.87</v>
      </c>
      <c r="BW79" s="10">
        <v>266589.62</v>
      </c>
      <c r="BX79" s="10">
        <v>256589.62</v>
      </c>
      <c r="BY79" s="10">
        <v>340517.39</v>
      </c>
      <c r="BZ79" s="10">
        <v>340517.39</v>
      </c>
      <c r="CA79" s="10">
        <v>340517.39</v>
      </c>
    </row>
    <row r="80" spans="1:79" x14ac:dyDescent="0.3">
      <c r="A80" s="9" t="s">
        <v>268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6908</v>
      </c>
      <c r="BP80" s="10">
        <v>6908</v>
      </c>
      <c r="BQ80" s="10">
        <v>6908</v>
      </c>
      <c r="BR80" s="10">
        <v>6908</v>
      </c>
      <c r="BS80" s="10">
        <v>6908</v>
      </c>
      <c r="BT80" s="10">
        <v>6908</v>
      </c>
      <c r="BU80" s="10">
        <v>6908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</row>
    <row r="81" spans="1:79" x14ac:dyDescent="0.3">
      <c r="A81" s="11" t="s">
        <v>269</v>
      </c>
      <c r="B81" s="6">
        <f t="shared" ref="B81:BM81" si="23">SUM(B76:B80)</f>
        <v>12084.57</v>
      </c>
      <c r="C81" s="6">
        <f t="shared" si="23"/>
        <v>17410.669999999998</v>
      </c>
      <c r="D81" s="6">
        <f t="shared" si="23"/>
        <v>6848.99</v>
      </c>
      <c r="E81" s="6">
        <f t="shared" si="23"/>
        <v>13617.880000000001</v>
      </c>
      <c r="F81" s="6">
        <f t="shared" si="23"/>
        <v>17814.86</v>
      </c>
      <c r="G81" s="6">
        <f t="shared" si="23"/>
        <v>1550.09</v>
      </c>
      <c r="H81" s="6">
        <f t="shared" si="23"/>
        <v>13750.67</v>
      </c>
      <c r="I81" s="6">
        <f t="shared" si="23"/>
        <v>26105.1</v>
      </c>
      <c r="J81" s="6">
        <f t="shared" si="23"/>
        <v>14618.460000000001</v>
      </c>
      <c r="K81" s="6">
        <f t="shared" si="23"/>
        <v>21577.239999999998</v>
      </c>
      <c r="L81" s="6">
        <f t="shared" si="23"/>
        <v>34816.85</v>
      </c>
      <c r="M81" s="6">
        <f t="shared" si="23"/>
        <v>10399.83</v>
      </c>
      <c r="N81" s="6">
        <f t="shared" si="23"/>
        <v>14981.460000000001</v>
      </c>
      <c r="O81" s="6">
        <f t="shared" si="23"/>
        <v>25070.33</v>
      </c>
      <c r="P81" s="6">
        <f t="shared" si="23"/>
        <v>13570.54</v>
      </c>
      <c r="Q81" s="6">
        <f t="shared" si="23"/>
        <v>18171.68</v>
      </c>
      <c r="R81" s="6">
        <f t="shared" si="23"/>
        <v>24724.510000000002</v>
      </c>
      <c r="S81" s="6">
        <f t="shared" si="23"/>
        <v>8394.33</v>
      </c>
      <c r="T81" s="6">
        <f t="shared" si="23"/>
        <v>14166.960000000001</v>
      </c>
      <c r="U81" s="6">
        <f t="shared" si="23"/>
        <v>28013.72</v>
      </c>
      <c r="V81" s="6">
        <f t="shared" si="23"/>
        <v>8720.5400000000009</v>
      </c>
      <c r="W81" s="6">
        <f t="shared" si="23"/>
        <v>13696.6</v>
      </c>
      <c r="X81" s="6">
        <f t="shared" si="23"/>
        <v>20315.440000000002</v>
      </c>
      <c r="Y81" s="6">
        <f t="shared" si="23"/>
        <v>13241.460000000001</v>
      </c>
      <c r="Z81" s="6">
        <f t="shared" si="23"/>
        <v>15493.03</v>
      </c>
      <c r="AA81" s="6">
        <f t="shared" si="23"/>
        <v>22721.08</v>
      </c>
      <c r="AB81" s="6">
        <f t="shared" si="23"/>
        <v>12204.73</v>
      </c>
      <c r="AC81" s="6">
        <f t="shared" si="23"/>
        <v>14686.470000000001</v>
      </c>
      <c r="AD81" s="6">
        <f t="shared" si="23"/>
        <v>29427.05</v>
      </c>
      <c r="AE81" s="6">
        <f t="shared" si="23"/>
        <v>15006.92</v>
      </c>
      <c r="AF81" s="6">
        <f t="shared" si="23"/>
        <v>30897.31</v>
      </c>
      <c r="AG81" s="6">
        <f t="shared" si="23"/>
        <v>47390.009999999995</v>
      </c>
      <c r="AH81" s="6">
        <f t="shared" si="23"/>
        <v>22295.08</v>
      </c>
      <c r="AI81" s="6">
        <f t="shared" si="23"/>
        <v>27140.66</v>
      </c>
      <c r="AJ81" s="6">
        <f t="shared" si="23"/>
        <v>39454.92</v>
      </c>
      <c r="AK81" s="6">
        <f t="shared" si="23"/>
        <v>21764.97</v>
      </c>
      <c r="AL81" s="6">
        <f t="shared" si="23"/>
        <v>37535.18</v>
      </c>
      <c r="AM81" s="6">
        <f t="shared" si="23"/>
        <v>50353.279999999999</v>
      </c>
      <c r="AN81" s="6">
        <f t="shared" si="23"/>
        <v>21907.63</v>
      </c>
      <c r="AO81" s="6">
        <f t="shared" si="23"/>
        <v>32666.73</v>
      </c>
      <c r="AP81" s="6">
        <f t="shared" si="23"/>
        <v>55730.69</v>
      </c>
      <c r="AQ81" s="6">
        <f t="shared" si="23"/>
        <v>22842.11</v>
      </c>
      <c r="AR81" s="6">
        <f t="shared" si="23"/>
        <v>23172.62</v>
      </c>
      <c r="AS81" s="6">
        <f t="shared" si="23"/>
        <v>33646.759999999995</v>
      </c>
      <c r="AT81" s="6">
        <f t="shared" si="23"/>
        <v>24719.61</v>
      </c>
      <c r="AU81" s="6">
        <f t="shared" si="23"/>
        <v>34630.71</v>
      </c>
      <c r="AV81" s="6">
        <f t="shared" si="23"/>
        <v>43884.38</v>
      </c>
      <c r="AW81" s="6">
        <f t="shared" si="23"/>
        <v>32839.21</v>
      </c>
      <c r="AX81" s="6">
        <f t="shared" si="23"/>
        <v>45631.789999999994</v>
      </c>
      <c r="AY81" s="6">
        <f t="shared" si="23"/>
        <v>52120.53</v>
      </c>
      <c r="AZ81" s="6">
        <f t="shared" si="23"/>
        <v>24515.41</v>
      </c>
      <c r="BA81" s="6">
        <f t="shared" si="23"/>
        <v>54953.789999999994</v>
      </c>
      <c r="BB81" s="6">
        <f t="shared" si="23"/>
        <v>56940.02</v>
      </c>
      <c r="BC81" s="6">
        <f t="shared" si="23"/>
        <v>-13302.65</v>
      </c>
      <c r="BD81" s="6">
        <f t="shared" si="23"/>
        <v>-15926.82</v>
      </c>
      <c r="BE81" s="6">
        <f t="shared" si="23"/>
        <v>-24615.759999999998</v>
      </c>
      <c r="BF81" s="6">
        <f t="shared" si="23"/>
        <v>-39753.030000000006</v>
      </c>
      <c r="BG81" s="6">
        <f t="shared" si="23"/>
        <v>-20881.79</v>
      </c>
      <c r="BH81" s="6">
        <f t="shared" si="23"/>
        <v>-13014.42</v>
      </c>
      <c r="BI81" s="6">
        <f t="shared" si="23"/>
        <v>-75153.03</v>
      </c>
      <c r="BJ81" s="6">
        <f t="shared" si="23"/>
        <v>-73815.28</v>
      </c>
      <c r="BK81" s="6">
        <f t="shared" si="23"/>
        <v>-67181.72</v>
      </c>
      <c r="BL81" s="6">
        <f t="shared" si="23"/>
        <v>4823.9599999999919</v>
      </c>
      <c r="BM81" s="6">
        <f t="shared" si="23"/>
        <v>-3692.1800000000076</v>
      </c>
      <c r="BN81" s="6">
        <f t="shared" ref="BN81:CA81" si="24">SUM(BN76:BN80)</f>
        <v>-3754.8700000000099</v>
      </c>
      <c r="BO81" s="6">
        <f t="shared" si="24"/>
        <v>99505.66</v>
      </c>
      <c r="BP81" s="6">
        <f t="shared" si="24"/>
        <v>76666.820000000007</v>
      </c>
      <c r="BQ81" s="6">
        <f t="shared" si="24"/>
        <v>58357.990000000005</v>
      </c>
      <c r="BR81" s="6">
        <f t="shared" si="24"/>
        <v>31969.54</v>
      </c>
      <c r="BS81" s="6">
        <f t="shared" si="24"/>
        <v>15541.04</v>
      </c>
      <c r="BT81" s="6">
        <f t="shared" si="24"/>
        <v>-1326.7799999999988</v>
      </c>
      <c r="BU81" s="6">
        <f t="shared" si="24"/>
        <v>-47136.21</v>
      </c>
      <c r="BV81" s="6">
        <f t="shared" si="24"/>
        <v>-54664.409999999996</v>
      </c>
      <c r="BW81" s="6">
        <f t="shared" si="24"/>
        <v>166365.4</v>
      </c>
      <c r="BX81" s="6">
        <f t="shared" si="24"/>
        <v>118233.47999999998</v>
      </c>
      <c r="BY81" s="6">
        <f t="shared" si="24"/>
        <v>207455.35</v>
      </c>
      <c r="BZ81" s="6">
        <f t="shared" si="24"/>
        <v>216823</v>
      </c>
      <c r="CA81" s="6">
        <f t="shared" si="24"/>
        <v>206331.59000000003</v>
      </c>
    </row>
    <row r="82" spans="1:79" x14ac:dyDescent="0.3">
      <c r="A82" s="12" t="s">
        <v>270</v>
      </c>
      <c r="B82" s="10">
        <v>29051.31</v>
      </c>
      <c r="C82" s="10">
        <v>29051.31</v>
      </c>
      <c r="D82" s="10">
        <v>29051.31</v>
      </c>
      <c r="E82" s="10">
        <v>29051.31</v>
      </c>
      <c r="F82" s="10">
        <v>29051.31</v>
      </c>
      <c r="G82" s="10">
        <v>28921.32</v>
      </c>
      <c r="H82" s="10">
        <v>28521.32</v>
      </c>
      <c r="I82" s="10">
        <v>28231.18</v>
      </c>
      <c r="J82" s="10">
        <v>25493.14</v>
      </c>
      <c r="K82" s="10">
        <v>24762.28</v>
      </c>
      <c r="L82" s="10">
        <v>24490.33</v>
      </c>
      <c r="M82" s="10">
        <v>24299.45</v>
      </c>
      <c r="N82" s="10">
        <v>22801.62</v>
      </c>
      <c r="O82" s="10">
        <v>22801.62</v>
      </c>
      <c r="P82" s="10">
        <v>20477.28</v>
      </c>
      <c r="Q82" s="10">
        <v>20429.78</v>
      </c>
      <c r="R82" s="10">
        <v>20407.28</v>
      </c>
      <c r="S82" s="10">
        <v>20388.48</v>
      </c>
      <c r="T82" s="10">
        <v>20369.48</v>
      </c>
      <c r="U82" s="10">
        <v>-79642.22</v>
      </c>
      <c r="V82" s="10">
        <v>-79844.41</v>
      </c>
      <c r="W82" s="10">
        <v>-79853.210000000006</v>
      </c>
      <c r="X82" s="10">
        <v>-79853.210000000006</v>
      </c>
      <c r="Y82" s="10">
        <v>-80334.460000000006</v>
      </c>
      <c r="Z82" s="10">
        <v>-80493.460000000006</v>
      </c>
      <c r="AA82" s="10">
        <v>-82731.960000000006</v>
      </c>
      <c r="AB82" s="10">
        <v>-82743.16</v>
      </c>
      <c r="AC82" s="10">
        <v>-82777.06</v>
      </c>
      <c r="AD82" s="10">
        <v>-82777.06</v>
      </c>
      <c r="AE82" s="10">
        <v>-34307.21</v>
      </c>
      <c r="AF82" s="10">
        <v>-34636.1</v>
      </c>
      <c r="AG82" s="10">
        <v>-34636.1</v>
      </c>
      <c r="AH82" s="10">
        <v>-34636.1</v>
      </c>
      <c r="AI82" s="10">
        <v>-34636.1</v>
      </c>
      <c r="AJ82" s="10">
        <v>-35266.1</v>
      </c>
      <c r="AK82" s="10">
        <v>-36012.449999999997</v>
      </c>
      <c r="AL82" s="10">
        <v>-36012.449999999997</v>
      </c>
      <c r="AM82" s="10">
        <v>-36642.449999999997</v>
      </c>
      <c r="AN82" s="10">
        <v>-36652.449999999997</v>
      </c>
      <c r="AO82" s="10">
        <v>-36688.15</v>
      </c>
      <c r="AP82" s="10">
        <v>-36721.35</v>
      </c>
      <c r="AQ82" s="10">
        <v>-36958.03</v>
      </c>
      <c r="AR82" s="10">
        <v>-36958.03</v>
      </c>
      <c r="AS82" s="10">
        <v>-36958.03</v>
      </c>
      <c r="AT82" s="10">
        <v>-36958.03</v>
      </c>
      <c r="AU82" s="10">
        <v>-36958.03</v>
      </c>
      <c r="AV82" s="10">
        <v>-36958.03</v>
      </c>
      <c r="AW82" s="10">
        <v>-36958.03</v>
      </c>
      <c r="AX82" s="10">
        <v>-36958.03</v>
      </c>
      <c r="AY82" s="10">
        <v>-36958.03</v>
      </c>
      <c r="AZ82" s="10">
        <v>-36958.03</v>
      </c>
      <c r="BA82" s="10">
        <v>-36958.03</v>
      </c>
      <c r="BB82" s="10">
        <v>-36958.03</v>
      </c>
      <c r="BC82" s="10">
        <v>-37002.879999999997</v>
      </c>
      <c r="BD82" s="10">
        <v>-37002.879999999997</v>
      </c>
      <c r="BE82" s="10">
        <v>-37002.879999999997</v>
      </c>
      <c r="BF82" s="10">
        <v>-37002.879999999997</v>
      </c>
      <c r="BG82" s="10">
        <v>-37002.879999999997</v>
      </c>
      <c r="BH82" s="10">
        <v>-37002.879999999997</v>
      </c>
      <c r="BI82" s="10">
        <v>-37002.879999999997</v>
      </c>
      <c r="BJ82" s="10">
        <v>-37002.879999999997</v>
      </c>
      <c r="BK82" s="10">
        <v>-37002.879999999997</v>
      </c>
      <c r="BL82" s="10">
        <v>-37002.879999999997</v>
      </c>
      <c r="BM82" s="10">
        <v>-37022.58</v>
      </c>
      <c r="BN82" s="10">
        <v>-37022.58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</row>
    <row r="83" spans="1:79" x14ac:dyDescent="0.3">
      <c r="A83" s="12" t="s">
        <v>271</v>
      </c>
      <c r="B83" s="10">
        <v>359.87</v>
      </c>
      <c r="C83" s="10">
        <v>359.87</v>
      </c>
      <c r="D83" s="10">
        <v>359.87</v>
      </c>
      <c r="E83" s="10">
        <v>359.87</v>
      </c>
      <c r="F83" s="10">
        <v>359.87</v>
      </c>
      <c r="G83" s="10">
        <v>359.87</v>
      </c>
      <c r="H83" s="10">
        <v>359.87</v>
      </c>
      <c r="I83" s="10">
        <v>359.87</v>
      </c>
      <c r="J83" s="10">
        <v>359.87</v>
      </c>
      <c r="K83" s="10">
        <v>359.87</v>
      </c>
      <c r="L83" s="10">
        <v>359.87</v>
      </c>
      <c r="M83" s="10">
        <v>359.87</v>
      </c>
      <c r="N83" s="10">
        <v>359.87</v>
      </c>
      <c r="O83" s="10">
        <v>359.87</v>
      </c>
      <c r="P83" s="10">
        <v>359.87</v>
      </c>
      <c r="Q83" s="10">
        <v>359.87</v>
      </c>
      <c r="R83" s="10">
        <v>359.87</v>
      </c>
      <c r="S83" s="10">
        <v>359.87</v>
      </c>
      <c r="T83" s="10">
        <v>359.87</v>
      </c>
      <c r="U83" s="10">
        <v>359.87</v>
      </c>
      <c r="V83" s="10">
        <v>359.87</v>
      </c>
      <c r="W83" s="10">
        <v>359.87</v>
      </c>
      <c r="X83" s="10">
        <v>359.87</v>
      </c>
      <c r="Y83" s="10">
        <v>359.87</v>
      </c>
      <c r="Z83" s="10">
        <v>359.87</v>
      </c>
      <c r="AA83" s="10">
        <v>359.87</v>
      </c>
      <c r="AB83" s="10">
        <v>359.87</v>
      </c>
      <c r="AC83" s="10">
        <v>359.87</v>
      </c>
      <c r="AD83" s="10">
        <v>359.87</v>
      </c>
      <c r="AE83" s="10">
        <v>359.87</v>
      </c>
      <c r="AF83" s="10">
        <v>359.87</v>
      </c>
      <c r="AG83" s="10">
        <v>359.87</v>
      </c>
      <c r="AH83" s="10">
        <v>359.87</v>
      </c>
      <c r="AI83" s="10">
        <v>359.87</v>
      </c>
      <c r="AJ83" s="10">
        <v>359.87</v>
      </c>
      <c r="AK83" s="10">
        <v>359.87</v>
      </c>
      <c r="AL83" s="10">
        <v>359.87</v>
      </c>
      <c r="AM83" s="10">
        <v>359.87</v>
      </c>
      <c r="AN83" s="10">
        <v>359.87</v>
      </c>
      <c r="AO83" s="10">
        <v>359.87</v>
      </c>
      <c r="AP83" s="10">
        <v>359.87</v>
      </c>
      <c r="AQ83" s="10">
        <v>359.87</v>
      </c>
      <c r="AR83" s="10">
        <v>359.87</v>
      </c>
      <c r="AS83" s="10">
        <v>359.87</v>
      </c>
      <c r="AT83" s="10">
        <v>359.87</v>
      </c>
      <c r="AU83" s="10">
        <v>359.87</v>
      </c>
      <c r="AV83" s="10">
        <v>359.87</v>
      </c>
      <c r="AW83" s="10">
        <v>359.87</v>
      </c>
      <c r="AX83" s="10">
        <v>359.87</v>
      </c>
      <c r="AY83" s="10">
        <v>359.87</v>
      </c>
      <c r="AZ83" s="10">
        <v>359.87</v>
      </c>
      <c r="BA83" s="10">
        <v>359.87</v>
      </c>
      <c r="BB83" s="10">
        <v>359.87</v>
      </c>
      <c r="BC83" s="10">
        <v>359.87</v>
      </c>
      <c r="BD83" s="10">
        <v>359.87</v>
      </c>
      <c r="BE83" s="10">
        <v>359.87</v>
      </c>
      <c r="BF83" s="10">
        <v>359.87</v>
      </c>
      <c r="BG83" s="10">
        <v>359.87</v>
      </c>
      <c r="BH83" s="10">
        <v>359.87</v>
      </c>
      <c r="BI83" s="10">
        <v>359.87</v>
      </c>
      <c r="BJ83" s="10">
        <v>359.87</v>
      </c>
      <c r="BK83" s="10">
        <v>359.87</v>
      </c>
      <c r="BL83" s="10">
        <v>359.87</v>
      </c>
      <c r="BM83" s="10">
        <v>359.87</v>
      </c>
      <c r="BN83" s="10">
        <v>359.87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</row>
    <row r="84" spans="1:79" x14ac:dyDescent="0.3">
      <c r="A84" s="12" t="s">
        <v>272</v>
      </c>
      <c r="B84" s="10">
        <v>11.58</v>
      </c>
      <c r="C84" s="10">
        <v>12.58</v>
      </c>
      <c r="D84" s="10">
        <v>12.58</v>
      </c>
      <c r="E84" s="10">
        <v>12.59</v>
      </c>
      <c r="F84" s="10">
        <v>14.02</v>
      </c>
      <c r="G84" s="10">
        <v>14.22</v>
      </c>
      <c r="H84" s="10">
        <v>14.23</v>
      </c>
      <c r="I84" s="10">
        <v>14.23</v>
      </c>
      <c r="J84" s="10">
        <v>11.77</v>
      </c>
      <c r="K84" s="10">
        <v>11.49</v>
      </c>
      <c r="L84" s="10">
        <v>11.23</v>
      </c>
      <c r="M84" s="10">
        <v>11.23</v>
      </c>
      <c r="N84" s="10">
        <v>11.23</v>
      </c>
      <c r="O84" s="10">
        <v>11.2</v>
      </c>
      <c r="P84" s="10">
        <v>21.2</v>
      </c>
      <c r="Q84" s="10">
        <v>21.2</v>
      </c>
      <c r="R84" s="10">
        <v>21.2</v>
      </c>
      <c r="S84" s="10">
        <v>22.5</v>
      </c>
      <c r="T84" s="10">
        <v>22.5</v>
      </c>
      <c r="U84" s="10">
        <v>26.15</v>
      </c>
      <c r="V84" s="10">
        <v>25.82</v>
      </c>
      <c r="W84" s="10">
        <v>25.82</v>
      </c>
      <c r="X84" s="10">
        <v>24.25</v>
      </c>
      <c r="Y84" s="10">
        <v>24.25</v>
      </c>
      <c r="Z84" s="10">
        <v>24.25</v>
      </c>
      <c r="AA84" s="10">
        <v>24.25</v>
      </c>
      <c r="AB84" s="10">
        <v>24.25</v>
      </c>
      <c r="AC84" s="10">
        <v>24.25</v>
      </c>
      <c r="AD84" s="10">
        <v>22.33</v>
      </c>
      <c r="AE84" s="10">
        <v>9.7799999999999994</v>
      </c>
      <c r="AF84" s="10">
        <v>8.2100000000000009</v>
      </c>
      <c r="AG84" s="10">
        <v>8.2200000000000006</v>
      </c>
      <c r="AH84" s="10">
        <v>8.16</v>
      </c>
      <c r="AI84" s="10">
        <v>7.25</v>
      </c>
      <c r="AJ84" s="10">
        <v>4.2</v>
      </c>
      <c r="AK84" s="10">
        <v>4.2</v>
      </c>
      <c r="AL84" s="10">
        <v>2.86</v>
      </c>
      <c r="AM84" s="10">
        <v>-0.55000000000000004</v>
      </c>
      <c r="AN84" s="10">
        <v>-5.12</v>
      </c>
      <c r="AO84" s="10">
        <v>-10.31</v>
      </c>
      <c r="AP84" s="10">
        <v>-10.01</v>
      </c>
      <c r="AQ84" s="10">
        <v>-10.91</v>
      </c>
      <c r="AR84" s="10">
        <v>-10.41</v>
      </c>
      <c r="AS84" s="10">
        <v>-17.489999999999998</v>
      </c>
      <c r="AT84" s="10">
        <v>-17.489999999999998</v>
      </c>
      <c r="AU84" s="10">
        <v>-22.59</v>
      </c>
      <c r="AV84" s="10">
        <v>-22.59</v>
      </c>
      <c r="AW84" s="10">
        <v>-18.670000000000002</v>
      </c>
      <c r="AX84" s="10">
        <v>-18.670000000000002</v>
      </c>
      <c r="AY84" s="10">
        <v>-24.34</v>
      </c>
      <c r="AZ84" s="10">
        <v>-24.34</v>
      </c>
      <c r="BA84" s="10">
        <v>-24.34</v>
      </c>
      <c r="BB84" s="10">
        <v>-26.2</v>
      </c>
      <c r="BC84" s="10">
        <v>-26.19</v>
      </c>
      <c r="BD84" s="10">
        <v>-31.19</v>
      </c>
      <c r="BE84" s="10">
        <v>-31.19</v>
      </c>
      <c r="BF84" s="10">
        <v>-31.19</v>
      </c>
      <c r="BG84" s="10">
        <v>-42.96</v>
      </c>
      <c r="BH84" s="10">
        <v>-39.97</v>
      </c>
      <c r="BI84" s="10">
        <v>-40.07</v>
      </c>
      <c r="BJ84" s="10">
        <v>-37.07</v>
      </c>
      <c r="BK84" s="10">
        <v>-37.369999999999997</v>
      </c>
      <c r="BL84" s="10">
        <v>-37.33</v>
      </c>
      <c r="BM84" s="10">
        <v>-37.33</v>
      </c>
      <c r="BN84" s="10">
        <v>-37.33</v>
      </c>
      <c r="BO84" s="10">
        <v>0</v>
      </c>
      <c r="BP84" s="10">
        <v>0.82</v>
      </c>
      <c r="BQ84" s="10">
        <v>0.82</v>
      </c>
      <c r="BR84" s="10">
        <v>0.92</v>
      </c>
      <c r="BS84" s="10">
        <v>2.46</v>
      </c>
      <c r="BT84" s="10">
        <v>2.46</v>
      </c>
      <c r="BU84" s="10">
        <v>3.05</v>
      </c>
      <c r="BV84" s="10">
        <v>0</v>
      </c>
      <c r="BW84" s="10">
        <v>0</v>
      </c>
      <c r="BX84" s="10">
        <v>0</v>
      </c>
      <c r="BY84" s="10">
        <v>5.2</v>
      </c>
      <c r="BZ84" s="10">
        <v>5.2</v>
      </c>
      <c r="CA84" s="10">
        <v>8.23</v>
      </c>
    </row>
    <row r="85" spans="1:79" x14ac:dyDescent="0.3">
      <c r="A85" s="7" t="s">
        <v>273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</row>
    <row r="86" spans="1:79" x14ac:dyDescent="0.3">
      <c r="A86" s="9" t="s">
        <v>274</v>
      </c>
      <c r="B86" s="10">
        <v>2526.7800000000002</v>
      </c>
      <c r="C86" s="10">
        <v>1380.48</v>
      </c>
      <c r="D86" s="10">
        <v>1400.26</v>
      </c>
      <c r="E86" s="10">
        <v>1791.55</v>
      </c>
      <c r="F86" s="10">
        <v>3237.71</v>
      </c>
      <c r="G86" s="10">
        <v>366.29</v>
      </c>
      <c r="H86" s="10">
        <v>2641.74</v>
      </c>
      <c r="I86" s="10">
        <v>1869.81</v>
      </c>
      <c r="J86" s="10">
        <v>2145.6799999999998</v>
      </c>
      <c r="K86" s="10">
        <v>2208.3000000000002</v>
      </c>
      <c r="L86" s="10">
        <v>4586.18</v>
      </c>
      <c r="M86" s="10">
        <v>3163.38</v>
      </c>
      <c r="N86" s="10">
        <v>2613.7199999999998</v>
      </c>
      <c r="O86" s="10">
        <v>2933.41</v>
      </c>
      <c r="P86" s="10">
        <v>3632.39</v>
      </c>
      <c r="Q86" s="10">
        <v>2786.94</v>
      </c>
      <c r="R86" s="10">
        <v>2138</v>
      </c>
      <c r="S86" s="10">
        <v>1077.06</v>
      </c>
      <c r="T86" s="10">
        <v>3099.67</v>
      </c>
      <c r="U86" s="10">
        <v>2914.18</v>
      </c>
      <c r="V86" s="10">
        <v>2051.6799999999998</v>
      </c>
      <c r="W86" s="10">
        <v>4130.9399999999996</v>
      </c>
      <c r="X86" s="10">
        <v>2131.8000000000002</v>
      </c>
      <c r="Y86" s="10">
        <v>3287.06</v>
      </c>
      <c r="Z86" s="10">
        <v>2584.91</v>
      </c>
      <c r="AA86" s="10">
        <v>2195.9299999999998</v>
      </c>
      <c r="AB86" s="10">
        <v>3105.48</v>
      </c>
      <c r="AC86" s="10">
        <v>3368.3</v>
      </c>
      <c r="AD86" s="10">
        <v>3608.67</v>
      </c>
      <c r="AE86" s="10">
        <v>2477.44</v>
      </c>
      <c r="AF86" s="10">
        <v>0</v>
      </c>
      <c r="AG86" s="10">
        <v>4540.43</v>
      </c>
      <c r="AH86" s="10">
        <v>3155.7</v>
      </c>
      <c r="AI86" s="10">
        <v>2315.2800000000002</v>
      </c>
      <c r="AJ86" s="10">
        <v>0</v>
      </c>
      <c r="AK86" s="10">
        <v>3783.51</v>
      </c>
      <c r="AL86" s="10">
        <v>4249.4399999999996</v>
      </c>
      <c r="AM86" s="10">
        <v>3143.41</v>
      </c>
      <c r="AN86" s="10">
        <v>8636.44</v>
      </c>
      <c r="AO86" s="10">
        <v>4260.38</v>
      </c>
      <c r="AP86" s="10">
        <v>4725.1000000000004</v>
      </c>
      <c r="AQ86" s="10">
        <v>1578.44</v>
      </c>
      <c r="AR86" s="10">
        <v>4265.01</v>
      </c>
      <c r="AS86" s="10">
        <v>0</v>
      </c>
      <c r="AT86" s="10">
        <v>4878.68</v>
      </c>
      <c r="AU86" s="10">
        <v>-1219.67</v>
      </c>
      <c r="AV86" s="10">
        <v>4878.68</v>
      </c>
      <c r="AW86" s="10">
        <v>12908.42</v>
      </c>
      <c r="AX86" s="10">
        <v>8342.42</v>
      </c>
      <c r="AY86" s="10">
        <v>6796.78</v>
      </c>
      <c r="AZ86" s="10">
        <v>14234.84</v>
      </c>
      <c r="BA86" s="10">
        <v>7895.96</v>
      </c>
      <c r="BB86" s="10">
        <v>7570.12</v>
      </c>
      <c r="BC86" s="10">
        <v>15628.47</v>
      </c>
      <c r="BD86" s="10">
        <v>8088.52</v>
      </c>
      <c r="BE86" s="10">
        <v>0</v>
      </c>
      <c r="BF86" s="10">
        <v>9773.35</v>
      </c>
      <c r="BG86" s="10">
        <v>8714.7900000000009</v>
      </c>
      <c r="BH86" s="10">
        <v>14837.51</v>
      </c>
      <c r="BI86" s="10">
        <v>8152.02</v>
      </c>
      <c r="BJ86" s="10">
        <v>0</v>
      </c>
      <c r="BK86" s="10">
        <v>7001.55</v>
      </c>
      <c r="BL86" s="10">
        <v>9233.4</v>
      </c>
      <c r="BM86" s="10">
        <v>15976.99</v>
      </c>
      <c r="BN86" s="10">
        <v>15875.64</v>
      </c>
      <c r="BO86" s="10">
        <v>6567.4</v>
      </c>
      <c r="BP86" s="10">
        <v>-1737.4</v>
      </c>
      <c r="BQ86" s="10">
        <v>-1737.4</v>
      </c>
      <c r="BR86" s="10">
        <v>-8394.69</v>
      </c>
      <c r="BS86" s="10">
        <v>-16569.189999999999</v>
      </c>
      <c r="BT86" s="10">
        <v>-26464.97</v>
      </c>
      <c r="BU86" s="10">
        <v>-26670.58</v>
      </c>
      <c r="BV86" s="10">
        <v>-63211.39</v>
      </c>
      <c r="BW86" s="10">
        <v>-63211.39</v>
      </c>
      <c r="BX86" s="10">
        <v>-71237.38</v>
      </c>
      <c r="BY86" s="10">
        <v>-73546.78</v>
      </c>
      <c r="BZ86" s="10">
        <v>-66319.67</v>
      </c>
      <c r="CA86" s="10">
        <v>-77242.820000000007</v>
      </c>
    </row>
    <row r="87" spans="1:79" x14ac:dyDescent="0.3">
      <c r="A87" s="12" t="s">
        <v>275</v>
      </c>
      <c r="B87" s="10">
        <v>-1932.12</v>
      </c>
      <c r="C87" s="10">
        <v>-2539.87</v>
      </c>
      <c r="D87" s="10">
        <v>-1509.99</v>
      </c>
      <c r="E87" s="10">
        <v>-1790.49</v>
      </c>
      <c r="F87" s="10">
        <v>-1663.1</v>
      </c>
      <c r="G87" s="10">
        <v>235.13</v>
      </c>
      <c r="H87" s="10">
        <v>1263.6300000000001</v>
      </c>
      <c r="I87" s="10">
        <v>-84.37</v>
      </c>
      <c r="J87" s="10">
        <v>-92.52</v>
      </c>
      <c r="K87" s="10">
        <v>-92.52</v>
      </c>
      <c r="L87" s="10">
        <v>-279.52</v>
      </c>
      <c r="M87" s="10">
        <v>-279.52</v>
      </c>
      <c r="N87" s="10">
        <v>-279.52</v>
      </c>
      <c r="O87" s="10">
        <v>-430.73</v>
      </c>
      <c r="P87" s="10">
        <v>-430.73</v>
      </c>
      <c r="Q87" s="10">
        <v>-430.73</v>
      </c>
      <c r="R87" s="10">
        <v>-930.73</v>
      </c>
      <c r="S87" s="10">
        <v>-885.73</v>
      </c>
      <c r="T87" s="10">
        <v>-1039.79</v>
      </c>
      <c r="U87" s="10">
        <v>-1039.79</v>
      </c>
      <c r="V87" s="10">
        <v>-1115.72</v>
      </c>
      <c r="W87" s="10">
        <v>-1170.95</v>
      </c>
      <c r="X87" s="10">
        <v>-9257.5400000000009</v>
      </c>
      <c r="Y87" s="10">
        <v>-10013.39</v>
      </c>
      <c r="Z87" s="10">
        <v>-10291.14</v>
      </c>
      <c r="AA87" s="10">
        <v>-10485.6</v>
      </c>
      <c r="AB87" s="10">
        <v>-11062.56</v>
      </c>
      <c r="AC87" s="10">
        <v>-11440.04</v>
      </c>
      <c r="AD87" s="10">
        <v>-11410.79</v>
      </c>
      <c r="AE87" s="10">
        <v>-50408.81</v>
      </c>
      <c r="AF87" s="10">
        <v>-50420.12</v>
      </c>
      <c r="AG87" s="10">
        <v>-31080.68</v>
      </c>
      <c r="AH87" s="10">
        <v>-50420.12</v>
      </c>
      <c r="AI87" s="10">
        <v>-51441.23</v>
      </c>
      <c r="AJ87" s="10">
        <v>-51169.8</v>
      </c>
      <c r="AK87" s="10">
        <v>-51819.8</v>
      </c>
      <c r="AL87" s="10">
        <v>-52765.760000000002</v>
      </c>
      <c r="AM87" s="10">
        <v>-52765.760000000002</v>
      </c>
      <c r="AN87" s="10">
        <v>-54377.25</v>
      </c>
      <c r="AO87" s="10">
        <v>-54377.25</v>
      </c>
      <c r="AP87" s="10">
        <v>-54377.25</v>
      </c>
      <c r="AQ87" s="10">
        <v>-55312.25</v>
      </c>
      <c r="AR87" s="10">
        <v>-54542.25</v>
      </c>
      <c r="AS87" s="10">
        <v>-54542.25</v>
      </c>
      <c r="AT87" s="10">
        <v>-55307.85</v>
      </c>
      <c r="AU87" s="10">
        <v>-54542.25</v>
      </c>
      <c r="AV87" s="10">
        <v>-54542.25</v>
      </c>
      <c r="AW87" s="10">
        <v>-54542.25</v>
      </c>
      <c r="AX87" s="10">
        <v>-54542.25</v>
      </c>
      <c r="AY87" s="10">
        <v>-54542.25</v>
      </c>
      <c r="AZ87" s="10">
        <v>-54542.25</v>
      </c>
      <c r="BA87" s="10">
        <v>-54542.25</v>
      </c>
      <c r="BB87" s="10">
        <v>-54542.25</v>
      </c>
      <c r="BC87" s="10">
        <v>-54542.25</v>
      </c>
      <c r="BD87" s="10">
        <v>-54542.25</v>
      </c>
      <c r="BE87" s="10">
        <v>-55042.25</v>
      </c>
      <c r="BF87" s="10">
        <v>-54542.25</v>
      </c>
      <c r="BG87" s="10">
        <v>-53542.25</v>
      </c>
      <c r="BH87" s="10">
        <v>-53542.25</v>
      </c>
      <c r="BI87" s="10">
        <v>-53542.25</v>
      </c>
      <c r="BJ87" s="10">
        <v>-53542.25</v>
      </c>
      <c r="BK87" s="10">
        <v>-53542.25</v>
      </c>
      <c r="BL87" s="10">
        <v>-54342.25</v>
      </c>
      <c r="BM87" s="10">
        <v>-52262.25</v>
      </c>
      <c r="BN87" s="10">
        <v>-54342.25</v>
      </c>
      <c r="BO87" s="10">
        <v>0</v>
      </c>
      <c r="BP87" s="10">
        <v>-2575.86</v>
      </c>
      <c r="BQ87" s="10">
        <v>-3993.11</v>
      </c>
      <c r="BR87" s="10">
        <v>-6308.11</v>
      </c>
      <c r="BS87" s="10">
        <v>-6308.11</v>
      </c>
      <c r="BT87" s="10">
        <v>-6308.11</v>
      </c>
      <c r="BU87" s="10">
        <v>-6308.11</v>
      </c>
      <c r="BV87" s="10">
        <v>0</v>
      </c>
      <c r="BW87" s="10">
        <v>-1077.21</v>
      </c>
      <c r="BX87" s="10">
        <v>-2584.21</v>
      </c>
      <c r="BY87" s="10">
        <v>-2584.21</v>
      </c>
      <c r="BZ87" s="10">
        <v>-3299.51</v>
      </c>
      <c r="CA87" s="10">
        <v>-3588.84</v>
      </c>
    </row>
    <row r="88" spans="1:79" x14ac:dyDescent="0.3">
      <c r="A88" s="12" t="s">
        <v>276</v>
      </c>
      <c r="B88" s="10">
        <v>-22.17</v>
      </c>
      <c r="C88" s="10">
        <v>-74.37</v>
      </c>
      <c r="D88" s="10">
        <v>-74.37</v>
      </c>
      <c r="E88" s="10">
        <v>-81.040000000000006</v>
      </c>
      <c r="F88" s="10">
        <v>-27.04</v>
      </c>
      <c r="G88" s="10">
        <v>0</v>
      </c>
      <c r="H88" s="10">
        <v>58.14</v>
      </c>
      <c r="I88" s="10">
        <v>-5089.6099999999997</v>
      </c>
      <c r="J88" s="10">
        <v>-6502.99</v>
      </c>
      <c r="K88" s="10">
        <v>-2.62</v>
      </c>
      <c r="L88" s="10">
        <v>-1.82</v>
      </c>
      <c r="M88" s="10">
        <v>65.95</v>
      </c>
      <c r="N88" s="10">
        <v>65.95</v>
      </c>
      <c r="O88" s="10">
        <v>65.95</v>
      </c>
      <c r="P88" s="10">
        <v>-1.49</v>
      </c>
      <c r="Q88" s="10">
        <v>-1.49</v>
      </c>
      <c r="R88" s="10">
        <v>-1.49</v>
      </c>
      <c r="S88" s="10">
        <v>0</v>
      </c>
      <c r="T88" s="10">
        <v>0</v>
      </c>
      <c r="U88" s="10">
        <v>0.06</v>
      </c>
      <c r="V88" s="10">
        <v>0</v>
      </c>
      <c r="W88" s="10">
        <v>-218.08</v>
      </c>
      <c r="X88" s="10">
        <v>-4591.72</v>
      </c>
      <c r="Y88" s="10">
        <v>6.22</v>
      </c>
      <c r="Z88" s="10">
        <v>0.22</v>
      </c>
      <c r="AA88" s="10">
        <v>0.22</v>
      </c>
      <c r="AB88" s="10">
        <v>0.22</v>
      </c>
      <c r="AC88" s="10">
        <v>0.22</v>
      </c>
      <c r="AD88" s="10">
        <v>-7865.21</v>
      </c>
      <c r="AE88" s="10">
        <v>0.22</v>
      </c>
      <c r="AF88" s="10">
        <v>0.22</v>
      </c>
      <c r="AG88" s="10">
        <v>0.22</v>
      </c>
      <c r="AH88" s="10">
        <v>0.22</v>
      </c>
      <c r="AI88" s="10">
        <v>0.22</v>
      </c>
      <c r="AJ88" s="10">
        <v>0.22</v>
      </c>
      <c r="AK88" s="10">
        <v>-8428.26</v>
      </c>
      <c r="AL88" s="10">
        <v>-7451.39</v>
      </c>
      <c r="AM88" s="10">
        <v>-8969.32</v>
      </c>
      <c r="AN88" s="10">
        <v>0.22</v>
      </c>
      <c r="AO88" s="10">
        <v>0.22</v>
      </c>
      <c r="AP88" s="10">
        <v>0.22</v>
      </c>
      <c r="AQ88" s="10">
        <v>0.22</v>
      </c>
      <c r="AR88" s="10">
        <v>0.22</v>
      </c>
      <c r="AS88" s="10">
        <v>0.22</v>
      </c>
      <c r="AT88" s="10">
        <v>0.22</v>
      </c>
      <c r="AU88" s="10">
        <v>-10101.030000000001</v>
      </c>
      <c r="AV88" s="10">
        <v>0.22</v>
      </c>
      <c r="AW88" s="10">
        <v>12837.47</v>
      </c>
      <c r="AX88" s="10">
        <v>0.22</v>
      </c>
      <c r="AY88" s="10">
        <v>0.22</v>
      </c>
      <c r="AZ88" s="10">
        <v>0.22</v>
      </c>
      <c r="BA88" s="10">
        <v>0.22</v>
      </c>
      <c r="BB88" s="10">
        <v>0.22</v>
      </c>
      <c r="BC88" s="10">
        <v>0.22</v>
      </c>
      <c r="BD88" s="10">
        <v>-18236.560000000001</v>
      </c>
      <c r="BE88" s="10">
        <v>0.22</v>
      </c>
      <c r="BF88" s="10">
        <v>0.22</v>
      </c>
      <c r="BG88" s="10">
        <v>0.22</v>
      </c>
      <c r="BH88" s="10">
        <v>0.22</v>
      </c>
      <c r="BI88" s="10">
        <v>0.22</v>
      </c>
      <c r="BJ88" s="10">
        <v>0.22</v>
      </c>
      <c r="BK88" s="10">
        <v>0.22</v>
      </c>
      <c r="BL88" s="10">
        <v>162.02000000000001</v>
      </c>
      <c r="BM88" s="10">
        <v>0.22</v>
      </c>
      <c r="BN88" s="10">
        <v>0.22</v>
      </c>
      <c r="BO88" s="10">
        <v>0</v>
      </c>
      <c r="BP88" s="10">
        <v>-65860.399999999994</v>
      </c>
      <c r="BQ88" s="10">
        <v>-123522.88</v>
      </c>
      <c r="BR88" s="10">
        <v>-195060.09</v>
      </c>
      <c r="BS88" s="10">
        <v>-259661.06</v>
      </c>
      <c r="BT88" s="10">
        <v>-318732.67</v>
      </c>
      <c r="BU88" s="10">
        <v>-397043.99</v>
      </c>
      <c r="BV88" s="10">
        <v>-457621.71</v>
      </c>
      <c r="BW88" s="10">
        <v>-513882.53</v>
      </c>
      <c r="BX88" s="10">
        <v>-581739.31999999995</v>
      </c>
      <c r="BY88" s="10">
        <v>-581739.31999999995</v>
      </c>
      <c r="BZ88" s="10">
        <v>-581739.31999999995</v>
      </c>
      <c r="CA88" s="10">
        <v>0.67</v>
      </c>
    </row>
    <row r="89" spans="1:79" x14ac:dyDescent="0.3">
      <c r="A89" s="7" t="s">
        <v>277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</row>
    <row r="90" spans="1:79" x14ac:dyDescent="0.3">
      <c r="A90" s="9" t="s">
        <v>278</v>
      </c>
      <c r="B90" s="10">
        <v>-3598.7</v>
      </c>
      <c r="C90" s="10">
        <v>-4112.8</v>
      </c>
      <c r="D90" s="10">
        <v>-4618.95</v>
      </c>
      <c r="E90" s="10">
        <v>-5133.05</v>
      </c>
      <c r="F90" s="10">
        <v>-5647.15</v>
      </c>
      <c r="G90" s="10">
        <v>-6161.25</v>
      </c>
      <c r="H90" s="10">
        <v>-6675.35</v>
      </c>
      <c r="I90" s="10">
        <v>-7189.45</v>
      </c>
      <c r="J90" s="10">
        <v>-7703.55</v>
      </c>
      <c r="K90" s="10">
        <v>-8217.65</v>
      </c>
      <c r="L90" s="10">
        <v>-8731.75</v>
      </c>
      <c r="M90" s="10">
        <v>-9245.85</v>
      </c>
      <c r="N90" s="10">
        <v>-9759.9500000000007</v>
      </c>
      <c r="O90" s="10">
        <v>-10274.049999999999</v>
      </c>
      <c r="P90" s="10">
        <v>-10788.15</v>
      </c>
      <c r="Q90" s="10">
        <v>-10788.15</v>
      </c>
      <c r="R90" s="10">
        <v>-10788.15</v>
      </c>
      <c r="S90" s="10">
        <v>-10788.15</v>
      </c>
      <c r="T90" s="10">
        <v>-10788.15</v>
      </c>
      <c r="U90" s="10">
        <v>-10788.15</v>
      </c>
      <c r="V90" s="10">
        <v>-10788.15</v>
      </c>
      <c r="W90" s="10">
        <v>-11302.25</v>
      </c>
      <c r="X90" s="10">
        <v>-11816.35</v>
      </c>
      <c r="Y90" s="10">
        <v>-12330.45</v>
      </c>
      <c r="Z90" s="10">
        <v>-13833.54</v>
      </c>
      <c r="AA90" s="10">
        <v>-15336.63</v>
      </c>
      <c r="AB90" s="10">
        <v>-16839.72</v>
      </c>
      <c r="AC90" s="10">
        <v>-18342.810000000001</v>
      </c>
      <c r="AD90" s="10">
        <v>-19845.900000000001</v>
      </c>
      <c r="AE90" s="10">
        <v>-21348.99</v>
      </c>
      <c r="AF90" s="10">
        <v>-22852.080000000002</v>
      </c>
      <c r="AG90" s="10">
        <v>-24355.17</v>
      </c>
      <c r="AH90" s="10">
        <v>-25858.26</v>
      </c>
      <c r="AI90" s="10">
        <v>-27361.35</v>
      </c>
      <c r="AJ90" s="10">
        <v>-28864.44</v>
      </c>
      <c r="AK90" s="10">
        <v>-30367.53</v>
      </c>
      <c r="AL90" s="10">
        <v>-31870.62</v>
      </c>
      <c r="AM90" s="10">
        <v>-33373.71</v>
      </c>
      <c r="AN90" s="10">
        <v>-34362.699999999997</v>
      </c>
      <c r="AO90" s="10">
        <v>-35351.69</v>
      </c>
      <c r="AP90" s="10">
        <v>-36340.68</v>
      </c>
      <c r="AQ90" s="10">
        <v>-37329.67</v>
      </c>
      <c r="AR90" s="10">
        <v>-38318.660000000003</v>
      </c>
      <c r="AS90" s="10">
        <v>-39307.65</v>
      </c>
      <c r="AT90" s="10">
        <v>-40296.639999999999</v>
      </c>
      <c r="AU90" s="10">
        <v>-41285.629999999997</v>
      </c>
      <c r="AV90" s="10">
        <v>-42274.62</v>
      </c>
      <c r="AW90" s="10">
        <v>-43263.61</v>
      </c>
      <c r="AX90" s="10">
        <v>-44252.6</v>
      </c>
      <c r="AY90" s="10">
        <v>-45241.59</v>
      </c>
      <c r="AZ90" s="10">
        <v>-46230.58</v>
      </c>
      <c r="BA90" s="10">
        <v>-47219.57</v>
      </c>
      <c r="BB90" s="10">
        <v>-48208.56</v>
      </c>
      <c r="BC90" s="10">
        <v>-48208.56</v>
      </c>
      <c r="BD90" s="10">
        <v>-48208.56</v>
      </c>
      <c r="BE90" s="10">
        <v>-48208.56</v>
      </c>
      <c r="BF90" s="10">
        <v>-48208.56</v>
      </c>
      <c r="BG90" s="10">
        <v>-48208.56</v>
      </c>
      <c r="BH90" s="10">
        <v>-48208.56</v>
      </c>
      <c r="BI90" s="10">
        <v>-48208.56</v>
      </c>
      <c r="BJ90" s="10">
        <v>-48208.56</v>
      </c>
      <c r="BK90" s="10">
        <v>-48208.56</v>
      </c>
      <c r="BL90" s="10">
        <v>-48208.56</v>
      </c>
      <c r="BM90" s="10">
        <v>-48208.56</v>
      </c>
      <c r="BN90" s="10">
        <v>-48208.56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</row>
    <row r="91" spans="1:79" x14ac:dyDescent="0.3">
      <c r="A91" s="9" t="s">
        <v>279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58350.41</v>
      </c>
      <c r="I91" s="10">
        <v>57361.42</v>
      </c>
      <c r="J91" s="10">
        <v>56372.43</v>
      </c>
      <c r="K91" s="10">
        <v>55383.44</v>
      </c>
      <c r="L91" s="10">
        <v>54394.45</v>
      </c>
      <c r="M91" s="10">
        <v>53405.46</v>
      </c>
      <c r="N91" s="10">
        <v>52416.47</v>
      </c>
      <c r="O91" s="10">
        <v>51427.48</v>
      </c>
      <c r="P91" s="10">
        <v>50438.49</v>
      </c>
      <c r="Q91" s="10">
        <v>50438.49</v>
      </c>
      <c r="R91" s="10">
        <v>50438.49</v>
      </c>
      <c r="S91" s="10">
        <v>50438.49</v>
      </c>
      <c r="T91" s="10">
        <v>50438.49</v>
      </c>
      <c r="U91" s="10">
        <v>50438.49</v>
      </c>
      <c r="V91" s="10">
        <v>50438.49</v>
      </c>
      <c r="W91" s="10">
        <v>49449.5</v>
      </c>
      <c r="X91" s="10">
        <v>48460.51</v>
      </c>
      <c r="Y91" s="10">
        <v>47471.519999999997</v>
      </c>
      <c r="Z91" s="10">
        <v>47471.519999999997</v>
      </c>
      <c r="AA91" s="10">
        <v>47471.519999999997</v>
      </c>
      <c r="AB91" s="10">
        <v>47471.519999999997</v>
      </c>
      <c r="AC91" s="10">
        <v>47471.519999999997</v>
      </c>
      <c r="AD91" s="10">
        <v>47471.519999999997</v>
      </c>
      <c r="AE91" s="10">
        <v>47471.519999999997</v>
      </c>
      <c r="AF91" s="10">
        <v>47471.519999999997</v>
      </c>
      <c r="AG91" s="10">
        <v>47471.519999999997</v>
      </c>
      <c r="AH91" s="10">
        <v>47471.519999999997</v>
      </c>
      <c r="AI91" s="10">
        <v>47471.519999999997</v>
      </c>
      <c r="AJ91" s="10">
        <v>47471.519999999997</v>
      </c>
      <c r="AK91" s="10">
        <v>47471.519999999997</v>
      </c>
      <c r="AL91" s="10">
        <v>47471.519999999997</v>
      </c>
      <c r="AM91" s="10">
        <v>47471.519999999997</v>
      </c>
      <c r="AN91" s="10">
        <v>47471.519999999997</v>
      </c>
      <c r="AO91" s="10">
        <v>47471.519999999997</v>
      </c>
      <c r="AP91" s="10">
        <v>47471.519999999997</v>
      </c>
      <c r="AQ91" s="10">
        <v>47471.519999999997</v>
      </c>
      <c r="AR91" s="10">
        <v>47471.519999999997</v>
      </c>
      <c r="AS91" s="10">
        <v>47471.519999999997</v>
      </c>
      <c r="AT91" s="10">
        <v>47471.519999999997</v>
      </c>
      <c r="AU91" s="10">
        <v>47471.519999999997</v>
      </c>
      <c r="AV91" s="10">
        <v>47471.519999999997</v>
      </c>
      <c r="AW91" s="10">
        <v>47471.519999999997</v>
      </c>
      <c r="AX91" s="10">
        <v>47471.519999999997</v>
      </c>
      <c r="AY91" s="10">
        <v>47471.519999999997</v>
      </c>
      <c r="AZ91" s="10">
        <v>47471.519999999997</v>
      </c>
      <c r="BA91" s="10">
        <v>47471.519999999997</v>
      </c>
      <c r="BB91" s="10">
        <v>47471.519999999997</v>
      </c>
      <c r="BC91" s="10">
        <v>29079.119999999999</v>
      </c>
      <c r="BD91" s="10">
        <v>29079.119999999999</v>
      </c>
      <c r="BE91" s="10">
        <v>29079.119999999999</v>
      </c>
      <c r="BF91" s="10">
        <v>29079.119999999999</v>
      </c>
      <c r="BG91" s="10">
        <v>29079.119999999999</v>
      </c>
      <c r="BH91" s="10">
        <v>29079.119999999999</v>
      </c>
      <c r="BI91" s="10">
        <v>29079.119999999999</v>
      </c>
      <c r="BJ91" s="10">
        <v>29079.119999999999</v>
      </c>
      <c r="BK91" s="10">
        <v>29079.119999999999</v>
      </c>
      <c r="BL91" s="10">
        <v>29079.119999999999</v>
      </c>
      <c r="BM91" s="10">
        <v>29079.119999999999</v>
      </c>
      <c r="BN91" s="10">
        <v>29079.119999999999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</row>
    <row r="92" spans="1:79" x14ac:dyDescent="0.3">
      <c r="A92" s="9" t="s">
        <v>280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3360.2</v>
      </c>
      <c r="P92" s="10">
        <v>34761.879999999997</v>
      </c>
      <c r="Q92" s="10">
        <v>34212.720000000001</v>
      </c>
      <c r="R92" s="10">
        <v>33663.56</v>
      </c>
      <c r="S92" s="10">
        <v>33114.400000000001</v>
      </c>
      <c r="T92" s="10">
        <v>32565.24</v>
      </c>
      <c r="U92" s="10">
        <v>32016.080000000002</v>
      </c>
      <c r="V92" s="10">
        <v>31466.92</v>
      </c>
      <c r="W92" s="10">
        <v>30917.759999999998</v>
      </c>
      <c r="X92" s="10">
        <v>30368.6</v>
      </c>
      <c r="Y92" s="10">
        <v>29819.439999999999</v>
      </c>
      <c r="Z92" s="10">
        <v>29270.28</v>
      </c>
      <c r="AA92" s="10">
        <v>29270.28</v>
      </c>
      <c r="AB92" s="10">
        <v>28171.96</v>
      </c>
      <c r="AC92" s="10">
        <v>27622.799999999999</v>
      </c>
      <c r="AD92" s="10">
        <v>27073.64</v>
      </c>
      <c r="AE92" s="10">
        <v>26524.48</v>
      </c>
      <c r="AF92" s="10">
        <v>25975.32</v>
      </c>
      <c r="AG92" s="10">
        <v>25426.16</v>
      </c>
      <c r="AH92" s="10">
        <v>24877</v>
      </c>
      <c r="AI92" s="10">
        <v>24327.84</v>
      </c>
      <c r="AJ92" s="10">
        <v>23778.68</v>
      </c>
      <c r="AK92" s="10">
        <v>23229.52</v>
      </c>
      <c r="AL92" s="10">
        <v>22680.36</v>
      </c>
      <c r="AM92" s="10">
        <v>22131.200000000001</v>
      </c>
      <c r="AN92" s="10">
        <v>21582.04</v>
      </c>
      <c r="AO92" s="10">
        <v>21032.880000000001</v>
      </c>
      <c r="AP92" s="10">
        <v>20483.72</v>
      </c>
      <c r="AQ92" s="10">
        <v>19934.560000000001</v>
      </c>
      <c r="AR92" s="10">
        <v>19385.400000000001</v>
      </c>
      <c r="AS92" s="10">
        <v>18836.240000000002</v>
      </c>
      <c r="AT92" s="10">
        <v>18287.080000000002</v>
      </c>
      <c r="AU92" s="10">
        <v>17737.919999999998</v>
      </c>
      <c r="AV92" s="10">
        <v>17188.759999999998</v>
      </c>
      <c r="AW92" s="10">
        <v>16639.599999999999</v>
      </c>
      <c r="AX92" s="10">
        <v>16090.44</v>
      </c>
      <c r="AY92" s="10">
        <v>15541.28</v>
      </c>
      <c r="AZ92" s="10">
        <v>14992.12</v>
      </c>
      <c r="BA92" s="10">
        <v>14992.12</v>
      </c>
      <c r="BB92" s="10">
        <v>13893.8</v>
      </c>
      <c r="BC92" s="10">
        <v>13344.64</v>
      </c>
      <c r="BD92" s="10">
        <v>12795.48</v>
      </c>
      <c r="BE92" s="10">
        <v>12246.32</v>
      </c>
      <c r="BF92" s="10">
        <v>11697.16</v>
      </c>
      <c r="BG92" s="10">
        <v>11148</v>
      </c>
      <c r="BH92" s="10">
        <v>10598.84</v>
      </c>
      <c r="BI92" s="10">
        <v>10049.68</v>
      </c>
      <c r="BJ92" s="10">
        <v>9500.52</v>
      </c>
      <c r="BK92" s="10">
        <v>8951.36</v>
      </c>
      <c r="BL92" s="10">
        <v>8402.2000000000007</v>
      </c>
      <c r="BM92" s="10">
        <v>7853.04</v>
      </c>
      <c r="BN92" s="10">
        <v>7303.88</v>
      </c>
      <c r="BO92" s="10">
        <v>4781.38</v>
      </c>
      <c r="BP92" s="10">
        <v>3683.06</v>
      </c>
      <c r="BQ92" s="10">
        <v>3133.9</v>
      </c>
      <c r="BR92" s="10">
        <v>2584.7399999999998</v>
      </c>
      <c r="BS92" s="10">
        <v>2035.58</v>
      </c>
      <c r="BT92" s="10">
        <v>1486.42</v>
      </c>
      <c r="BU92" s="10">
        <v>937.26</v>
      </c>
      <c r="BV92" s="10">
        <v>388.1</v>
      </c>
      <c r="BW92" s="10">
        <v>388.1</v>
      </c>
      <c r="BX92" s="10">
        <v>388.1</v>
      </c>
      <c r="BY92" s="10">
        <v>388.1</v>
      </c>
      <c r="BZ92" s="10">
        <v>388.1</v>
      </c>
      <c r="CA92" s="10">
        <v>388.1</v>
      </c>
    </row>
    <row r="93" spans="1:79" x14ac:dyDescent="0.3">
      <c r="A93" s="9" t="s">
        <v>281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34053.910000000003</v>
      </c>
      <c r="BB93" s="10">
        <v>33367.82</v>
      </c>
      <c r="BC93" s="10">
        <v>32681.73</v>
      </c>
      <c r="BD93" s="10">
        <v>31995.64</v>
      </c>
      <c r="BE93" s="10">
        <v>31309.55</v>
      </c>
      <c r="BF93" s="10">
        <v>30623.46</v>
      </c>
      <c r="BG93" s="10">
        <v>29937.37</v>
      </c>
      <c r="BH93" s="10">
        <v>29251.279999999999</v>
      </c>
      <c r="BI93" s="10">
        <v>28565.19</v>
      </c>
      <c r="BJ93" s="10">
        <v>27879.1</v>
      </c>
      <c r="BK93" s="10">
        <v>27193.01</v>
      </c>
      <c r="BL93" s="10">
        <v>27193.01</v>
      </c>
      <c r="BM93" s="10">
        <v>27193.01</v>
      </c>
      <c r="BN93" s="10">
        <v>27193.01</v>
      </c>
      <c r="BO93" s="10">
        <v>31708.05</v>
      </c>
      <c r="BP93" s="10">
        <v>31708.05</v>
      </c>
      <c r="BQ93" s="10">
        <v>31708.05</v>
      </c>
      <c r="BR93" s="10">
        <v>31708.05</v>
      </c>
      <c r="BS93" s="10">
        <v>31708.05</v>
      </c>
      <c r="BT93" s="10">
        <v>31708.05</v>
      </c>
      <c r="BU93" s="10">
        <v>31708.05</v>
      </c>
      <c r="BV93" s="10">
        <v>31708.05</v>
      </c>
      <c r="BW93" s="10">
        <v>31708.05</v>
      </c>
      <c r="BX93" s="10">
        <v>31708.05</v>
      </c>
      <c r="BY93" s="10">
        <v>31708.05</v>
      </c>
      <c r="BZ93" s="10">
        <v>31708.05</v>
      </c>
      <c r="CA93" s="10">
        <v>31708.05</v>
      </c>
    </row>
    <row r="94" spans="1:79" x14ac:dyDescent="0.3">
      <c r="A94" s="9" t="s">
        <v>282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76269.62</v>
      </c>
      <c r="BG94" s="10">
        <v>74739.240000000005</v>
      </c>
      <c r="BH94" s="10">
        <v>73208.86</v>
      </c>
      <c r="BI94" s="10">
        <v>71678.48</v>
      </c>
      <c r="BJ94" s="10">
        <v>70148.100000000006</v>
      </c>
      <c r="BK94" s="10">
        <v>68617.72</v>
      </c>
      <c r="BL94" s="10">
        <v>67087.34</v>
      </c>
      <c r="BM94" s="10">
        <v>65556.960000000006</v>
      </c>
      <c r="BN94" s="10">
        <v>64026.58</v>
      </c>
      <c r="BO94" s="10">
        <v>76105.13</v>
      </c>
      <c r="BP94" s="10">
        <v>74574.75</v>
      </c>
      <c r="BQ94" s="10">
        <v>73044.37</v>
      </c>
      <c r="BR94" s="10">
        <v>71509.990000000005</v>
      </c>
      <c r="BS94" s="10">
        <v>69975.61</v>
      </c>
      <c r="BT94" s="10">
        <v>68441.23</v>
      </c>
      <c r="BU94" s="10">
        <v>66906.850000000006</v>
      </c>
      <c r="BV94" s="10">
        <v>65372.47</v>
      </c>
      <c r="BW94" s="10">
        <v>63838.09</v>
      </c>
      <c r="BX94" s="10">
        <v>62303.71</v>
      </c>
      <c r="BY94" s="10">
        <v>60769.33</v>
      </c>
      <c r="BZ94" s="10">
        <v>59234.95</v>
      </c>
      <c r="CA94" s="10">
        <v>57700.57</v>
      </c>
    </row>
    <row r="95" spans="1:79" x14ac:dyDescent="0.3">
      <c r="A95" s="9" t="s">
        <v>283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52171.01</v>
      </c>
      <c r="BH95" s="10">
        <v>51092.94</v>
      </c>
      <c r="BI95" s="10">
        <v>50014.87</v>
      </c>
      <c r="BJ95" s="10">
        <v>48936.800000000003</v>
      </c>
      <c r="BK95" s="10">
        <v>47858.73</v>
      </c>
      <c r="BL95" s="10">
        <v>46780.66</v>
      </c>
      <c r="BM95" s="10">
        <v>45702.59</v>
      </c>
      <c r="BN95" s="10">
        <v>44624.52</v>
      </c>
      <c r="BO95" s="10">
        <v>54981.73</v>
      </c>
      <c r="BP95" s="10">
        <v>53903.66</v>
      </c>
      <c r="BQ95" s="10">
        <v>52825.59</v>
      </c>
      <c r="BR95" s="10">
        <v>51747.519999999997</v>
      </c>
      <c r="BS95" s="10">
        <v>50669.45</v>
      </c>
      <c r="BT95" s="10">
        <v>49591.38</v>
      </c>
      <c r="BU95" s="10">
        <v>48513.31</v>
      </c>
      <c r="BV95" s="10">
        <v>47435.24</v>
      </c>
      <c r="BW95" s="10">
        <v>46357.17</v>
      </c>
      <c r="BX95" s="10">
        <v>45279.1</v>
      </c>
      <c r="BY95" s="10">
        <v>44201.03</v>
      </c>
      <c r="BZ95" s="10">
        <v>43122.96</v>
      </c>
      <c r="CA95" s="10">
        <v>42044.89</v>
      </c>
    </row>
    <row r="96" spans="1:79" x14ac:dyDescent="0.3">
      <c r="A96" s="9" t="s">
        <v>284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19759.439999999999</v>
      </c>
      <c r="BN96" s="10">
        <v>17563.939999999999</v>
      </c>
      <c r="BO96" s="10">
        <v>15368.44</v>
      </c>
      <c r="BP96" s="10">
        <v>13172.94</v>
      </c>
      <c r="BQ96" s="10">
        <v>10977.44</v>
      </c>
      <c r="BR96" s="10">
        <v>8781.94</v>
      </c>
      <c r="BS96" s="10">
        <v>6586.44</v>
      </c>
      <c r="BT96" s="10">
        <v>4390.9399999999996</v>
      </c>
      <c r="BU96" s="10">
        <v>2195.44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</row>
    <row r="97" spans="1:79" x14ac:dyDescent="0.3">
      <c r="A97" s="9" t="s">
        <v>285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942.99</v>
      </c>
      <c r="BT97" s="10">
        <v>707.23</v>
      </c>
      <c r="BU97" s="10">
        <v>471.47</v>
      </c>
      <c r="BV97" s="10">
        <v>235.71</v>
      </c>
      <c r="BW97" s="10">
        <v>-0.04</v>
      </c>
      <c r="BX97" s="10">
        <v>-0.04</v>
      </c>
      <c r="BY97" s="10">
        <v>-0.04</v>
      </c>
      <c r="BZ97" s="10">
        <v>-0.04</v>
      </c>
      <c r="CA97" s="10">
        <v>-0.04</v>
      </c>
    </row>
    <row r="98" spans="1:79" x14ac:dyDescent="0.3">
      <c r="A98" s="9" t="s">
        <v>286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46599.97</v>
      </c>
      <c r="BT98" s="10">
        <v>45649.94</v>
      </c>
      <c r="BU98" s="10">
        <v>44699.91</v>
      </c>
      <c r="BV98" s="10">
        <v>43749.88</v>
      </c>
      <c r="BW98" s="10">
        <v>42799.85</v>
      </c>
      <c r="BX98" s="10">
        <v>41849.82</v>
      </c>
      <c r="BY98" s="10">
        <v>40899.79</v>
      </c>
      <c r="BZ98" s="10">
        <v>39949.760000000002</v>
      </c>
      <c r="CA98" s="10">
        <v>38999.730000000003</v>
      </c>
    </row>
    <row r="99" spans="1:79" x14ac:dyDescent="0.3">
      <c r="A99" s="9" t="s">
        <v>287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668.52</v>
      </c>
      <c r="P99" s="10">
        <v>668.52</v>
      </c>
      <c r="Q99" s="10">
        <v>668.52</v>
      </c>
      <c r="R99" s="10">
        <v>668.52</v>
      </c>
      <c r="S99" s="10">
        <v>668.52</v>
      </c>
      <c r="T99" s="10">
        <v>668.52</v>
      </c>
      <c r="U99" s="10">
        <v>668.52</v>
      </c>
      <c r="V99" s="10">
        <v>668.52</v>
      </c>
      <c r="W99" s="10">
        <v>668.52</v>
      </c>
      <c r="X99" s="10">
        <v>668.52</v>
      </c>
      <c r="Y99" s="10">
        <v>668.52</v>
      </c>
      <c r="Z99" s="10">
        <v>668.52</v>
      </c>
      <c r="AA99" s="10">
        <v>668.52</v>
      </c>
      <c r="AB99" s="10">
        <v>668.52</v>
      </c>
      <c r="AC99" s="10">
        <v>0</v>
      </c>
      <c r="AD99" s="10">
        <v>0</v>
      </c>
      <c r="AE99" s="10">
        <v>0</v>
      </c>
      <c r="AF99" s="10">
        <v>0</v>
      </c>
      <c r="AG99" s="10">
        <v>64.67</v>
      </c>
      <c r="AH99" s="10">
        <v>64.67</v>
      </c>
      <c r="AI99" s="10">
        <v>64.67</v>
      </c>
      <c r="AJ99" s="10">
        <v>64.67</v>
      </c>
      <c r="AK99" s="10">
        <v>64.67</v>
      </c>
      <c r="AL99" s="10">
        <v>64.67</v>
      </c>
      <c r="AM99" s="10">
        <v>64.67</v>
      </c>
      <c r="AN99" s="10">
        <v>64.67</v>
      </c>
      <c r="AO99" s="10">
        <v>64.67</v>
      </c>
      <c r="AP99" s="10">
        <v>64.67</v>
      </c>
      <c r="AQ99" s="10">
        <v>64.67</v>
      </c>
      <c r="AR99" s="10">
        <v>64.67</v>
      </c>
      <c r="AS99" s="10">
        <v>64.67</v>
      </c>
      <c r="AT99" s="10">
        <v>64.67</v>
      </c>
      <c r="AU99" s="10">
        <v>64.67</v>
      </c>
      <c r="AV99" s="10">
        <v>64.67</v>
      </c>
      <c r="AW99" s="10">
        <v>64.67</v>
      </c>
      <c r="AX99" s="10">
        <v>64.67</v>
      </c>
      <c r="AY99" s="10">
        <v>64.67</v>
      </c>
      <c r="AZ99" s="10">
        <v>64.67</v>
      </c>
      <c r="BA99" s="10">
        <v>64.67</v>
      </c>
      <c r="BB99" s="10">
        <v>64.67</v>
      </c>
      <c r="BC99" s="10">
        <v>64.67</v>
      </c>
      <c r="BD99" s="10">
        <v>64.67</v>
      </c>
      <c r="BE99" s="10">
        <v>64.67</v>
      </c>
      <c r="BF99" s="10">
        <v>64.67</v>
      </c>
      <c r="BG99" s="10">
        <v>64.67</v>
      </c>
      <c r="BH99" s="10">
        <v>64.67</v>
      </c>
      <c r="BI99" s="10">
        <v>64.67</v>
      </c>
      <c r="BJ99" s="10">
        <v>64.67</v>
      </c>
      <c r="BK99" s="10">
        <v>64.67</v>
      </c>
      <c r="BL99" s="10">
        <v>64.67</v>
      </c>
      <c r="BM99" s="10">
        <v>64.67</v>
      </c>
      <c r="BN99" s="10">
        <v>64.67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</row>
    <row r="100" spans="1:79" x14ac:dyDescent="0.3">
      <c r="A100" s="11" t="s">
        <v>288</v>
      </c>
      <c r="B100" s="6">
        <f t="shared" ref="B100:BM100" si="25">SUM(B90:B99)</f>
        <v>-3598.7</v>
      </c>
      <c r="C100" s="6">
        <f t="shared" si="25"/>
        <v>-4112.8</v>
      </c>
      <c r="D100" s="6">
        <f t="shared" si="25"/>
        <v>-4618.95</v>
      </c>
      <c r="E100" s="6">
        <f t="shared" si="25"/>
        <v>-5133.05</v>
      </c>
      <c r="F100" s="6">
        <f t="shared" si="25"/>
        <v>-5647.15</v>
      </c>
      <c r="G100" s="6">
        <f t="shared" si="25"/>
        <v>-6161.25</v>
      </c>
      <c r="H100" s="6">
        <f t="shared" si="25"/>
        <v>51675.060000000005</v>
      </c>
      <c r="I100" s="6">
        <f t="shared" si="25"/>
        <v>50171.97</v>
      </c>
      <c r="J100" s="6">
        <f t="shared" si="25"/>
        <v>48668.88</v>
      </c>
      <c r="K100" s="6">
        <f t="shared" si="25"/>
        <v>47165.79</v>
      </c>
      <c r="L100" s="6">
        <f t="shared" si="25"/>
        <v>45662.7</v>
      </c>
      <c r="M100" s="6">
        <f t="shared" si="25"/>
        <v>44159.61</v>
      </c>
      <c r="N100" s="6">
        <f t="shared" si="25"/>
        <v>42656.520000000004</v>
      </c>
      <c r="O100" s="6">
        <f t="shared" si="25"/>
        <v>45182.15</v>
      </c>
      <c r="P100" s="6">
        <f t="shared" si="25"/>
        <v>75080.740000000005</v>
      </c>
      <c r="Q100" s="6">
        <f t="shared" si="25"/>
        <v>74531.58</v>
      </c>
      <c r="R100" s="6">
        <f t="shared" si="25"/>
        <v>73982.42</v>
      </c>
      <c r="S100" s="6">
        <f t="shared" si="25"/>
        <v>73433.259999999995</v>
      </c>
      <c r="T100" s="6">
        <f t="shared" si="25"/>
        <v>72884.100000000006</v>
      </c>
      <c r="U100" s="6">
        <f t="shared" si="25"/>
        <v>72334.94</v>
      </c>
      <c r="V100" s="6">
        <f t="shared" si="25"/>
        <v>71785.78</v>
      </c>
      <c r="W100" s="6">
        <f t="shared" si="25"/>
        <v>69733.53</v>
      </c>
      <c r="X100" s="6">
        <f t="shared" si="25"/>
        <v>67681.280000000013</v>
      </c>
      <c r="Y100" s="6">
        <f t="shared" si="25"/>
        <v>65629.03</v>
      </c>
      <c r="Z100" s="6">
        <f t="shared" si="25"/>
        <v>63576.779999999992</v>
      </c>
      <c r="AA100" s="6">
        <f t="shared" si="25"/>
        <v>62073.689999999995</v>
      </c>
      <c r="AB100" s="6">
        <f t="shared" si="25"/>
        <v>59472.279999999992</v>
      </c>
      <c r="AC100" s="6">
        <f t="shared" si="25"/>
        <v>56751.509999999995</v>
      </c>
      <c r="AD100" s="6">
        <f t="shared" si="25"/>
        <v>54699.259999999995</v>
      </c>
      <c r="AE100" s="6">
        <f t="shared" si="25"/>
        <v>52647.009999999995</v>
      </c>
      <c r="AF100" s="6">
        <f t="shared" si="25"/>
        <v>50594.759999999995</v>
      </c>
      <c r="AG100" s="6">
        <f t="shared" si="25"/>
        <v>48607.179999999993</v>
      </c>
      <c r="AH100" s="6">
        <f t="shared" si="25"/>
        <v>46554.929999999993</v>
      </c>
      <c r="AI100" s="6">
        <f t="shared" si="25"/>
        <v>44502.679999999993</v>
      </c>
      <c r="AJ100" s="6">
        <f t="shared" si="25"/>
        <v>42450.429999999993</v>
      </c>
      <c r="AK100" s="6">
        <f t="shared" si="25"/>
        <v>40398.179999999993</v>
      </c>
      <c r="AL100" s="6">
        <f t="shared" si="25"/>
        <v>38345.929999999993</v>
      </c>
      <c r="AM100" s="6">
        <f t="shared" si="25"/>
        <v>36293.679999999993</v>
      </c>
      <c r="AN100" s="6">
        <f t="shared" si="25"/>
        <v>34755.53</v>
      </c>
      <c r="AO100" s="6">
        <f t="shared" si="25"/>
        <v>33217.37999999999</v>
      </c>
      <c r="AP100" s="6">
        <f t="shared" si="25"/>
        <v>31679.229999999996</v>
      </c>
      <c r="AQ100" s="6">
        <f t="shared" si="25"/>
        <v>30141.079999999998</v>
      </c>
      <c r="AR100" s="6">
        <f t="shared" si="25"/>
        <v>28602.929999999993</v>
      </c>
      <c r="AS100" s="6">
        <f t="shared" si="25"/>
        <v>27064.779999999995</v>
      </c>
      <c r="AT100" s="6">
        <f t="shared" si="25"/>
        <v>25526.629999999997</v>
      </c>
      <c r="AU100" s="6">
        <f t="shared" si="25"/>
        <v>23988.479999999996</v>
      </c>
      <c r="AV100" s="6">
        <f t="shared" si="25"/>
        <v>22450.329999999991</v>
      </c>
      <c r="AW100" s="6">
        <f t="shared" si="25"/>
        <v>20912.179999999993</v>
      </c>
      <c r="AX100" s="6">
        <f t="shared" si="25"/>
        <v>19374.03</v>
      </c>
      <c r="AY100" s="6">
        <f t="shared" si="25"/>
        <v>17835.879999999997</v>
      </c>
      <c r="AZ100" s="6">
        <f t="shared" si="25"/>
        <v>16297.729999999996</v>
      </c>
      <c r="BA100" s="6">
        <f t="shared" si="25"/>
        <v>49362.65</v>
      </c>
      <c r="BB100" s="6">
        <f t="shared" si="25"/>
        <v>46589.25</v>
      </c>
      <c r="BC100" s="6">
        <f t="shared" si="25"/>
        <v>26961.599999999999</v>
      </c>
      <c r="BD100" s="6">
        <f t="shared" si="25"/>
        <v>25726.35</v>
      </c>
      <c r="BE100" s="6">
        <f t="shared" si="25"/>
        <v>24491.1</v>
      </c>
      <c r="BF100" s="6">
        <f t="shared" si="25"/>
        <v>99525.469999999987</v>
      </c>
      <c r="BG100" s="6">
        <f t="shared" si="25"/>
        <v>148930.85000000003</v>
      </c>
      <c r="BH100" s="6">
        <f t="shared" si="25"/>
        <v>145087.15000000002</v>
      </c>
      <c r="BI100" s="6">
        <f t="shared" si="25"/>
        <v>141243.45000000001</v>
      </c>
      <c r="BJ100" s="6">
        <f t="shared" si="25"/>
        <v>137399.75000000003</v>
      </c>
      <c r="BK100" s="6">
        <f t="shared" si="25"/>
        <v>133556.05000000002</v>
      </c>
      <c r="BL100" s="6">
        <f t="shared" si="25"/>
        <v>130398.44</v>
      </c>
      <c r="BM100" s="6">
        <f t="shared" si="25"/>
        <v>147000.27000000002</v>
      </c>
      <c r="BN100" s="6">
        <f t="shared" ref="BN100:CA100" si="26">SUM(BN90:BN99)</f>
        <v>141647.16</v>
      </c>
      <c r="BO100" s="6">
        <f t="shared" si="26"/>
        <v>182944.73</v>
      </c>
      <c r="BP100" s="6">
        <f t="shared" si="26"/>
        <v>177042.46000000002</v>
      </c>
      <c r="BQ100" s="6">
        <f t="shared" si="26"/>
        <v>171689.34999999998</v>
      </c>
      <c r="BR100" s="6">
        <f t="shared" si="26"/>
        <v>166332.24</v>
      </c>
      <c r="BS100" s="6">
        <f t="shared" si="26"/>
        <v>208518.09</v>
      </c>
      <c r="BT100" s="6">
        <f t="shared" si="26"/>
        <v>201975.19</v>
      </c>
      <c r="BU100" s="6">
        <f t="shared" si="26"/>
        <v>195432.29</v>
      </c>
      <c r="BV100" s="6">
        <f t="shared" si="26"/>
        <v>188889.44999999998</v>
      </c>
      <c r="BW100" s="6">
        <f t="shared" si="26"/>
        <v>185091.21999999997</v>
      </c>
      <c r="BX100" s="6">
        <f t="shared" si="26"/>
        <v>181528.74</v>
      </c>
      <c r="BY100" s="6">
        <f t="shared" si="26"/>
        <v>177966.26</v>
      </c>
      <c r="BZ100" s="6">
        <f t="shared" si="26"/>
        <v>174403.78</v>
      </c>
      <c r="CA100" s="6">
        <f t="shared" si="26"/>
        <v>170841.3</v>
      </c>
    </row>
    <row r="101" spans="1:79" x14ac:dyDescent="0.3">
      <c r="A101" s="12" t="s">
        <v>289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9.9</v>
      </c>
      <c r="AA101" s="10">
        <v>9.9</v>
      </c>
      <c r="AB101" s="10">
        <v>9.9</v>
      </c>
      <c r="AC101" s="10">
        <v>9.9</v>
      </c>
      <c r="AD101" s="10">
        <v>9.9</v>
      </c>
      <c r="AE101" s="10">
        <v>9.9</v>
      </c>
      <c r="AF101" s="10">
        <v>9.9</v>
      </c>
      <c r="AG101" s="10">
        <v>9.9</v>
      </c>
      <c r="AH101" s="10">
        <v>9.9</v>
      </c>
      <c r="AI101" s="10">
        <v>9.9</v>
      </c>
      <c r="AJ101" s="10">
        <v>9.9</v>
      </c>
      <c r="AK101" s="10">
        <v>9.9</v>
      </c>
      <c r="AL101" s="10">
        <v>9.9</v>
      </c>
      <c r="AM101" s="10">
        <v>9.9</v>
      </c>
      <c r="AN101" s="10">
        <v>9.9</v>
      </c>
      <c r="AO101" s="10">
        <v>9.9</v>
      </c>
      <c r="AP101" s="10">
        <v>9.9</v>
      </c>
      <c r="AQ101" s="10">
        <v>9.9</v>
      </c>
      <c r="AR101" s="10">
        <v>9.9</v>
      </c>
      <c r="AS101" s="10">
        <v>9.9</v>
      </c>
      <c r="AT101" s="10">
        <v>9.9</v>
      </c>
      <c r="AU101" s="10">
        <v>9.9</v>
      </c>
      <c r="AV101" s="10">
        <v>9.9</v>
      </c>
      <c r="AW101" s="10">
        <v>9.9</v>
      </c>
      <c r="AX101" s="10">
        <v>9.9</v>
      </c>
      <c r="AY101" s="10">
        <v>9.9</v>
      </c>
      <c r="AZ101" s="10">
        <v>9.9</v>
      </c>
      <c r="BA101" s="10">
        <v>9.9</v>
      </c>
      <c r="BB101" s="10">
        <v>9.9</v>
      </c>
      <c r="BC101" s="10">
        <v>9.9</v>
      </c>
      <c r="BD101" s="10">
        <v>9.9</v>
      </c>
      <c r="BE101" s="10">
        <v>9.9</v>
      </c>
      <c r="BF101" s="10">
        <v>9.9</v>
      </c>
      <c r="BG101" s="10">
        <v>9.9</v>
      </c>
      <c r="BH101" s="10">
        <v>9.9</v>
      </c>
      <c r="BI101" s="10">
        <v>9.9</v>
      </c>
      <c r="BJ101" s="10">
        <v>9.9</v>
      </c>
      <c r="BK101" s="10">
        <v>9.9</v>
      </c>
      <c r="BL101" s="10">
        <v>609.9</v>
      </c>
      <c r="BM101" s="10">
        <v>714.38</v>
      </c>
      <c r="BN101" s="10">
        <v>714.38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</row>
    <row r="102" spans="1:79" x14ac:dyDescent="0.3">
      <c r="A102" s="7" t="s">
        <v>290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</row>
    <row r="103" spans="1:79" x14ac:dyDescent="0.3">
      <c r="A103" s="9" t="s">
        <v>290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1718</v>
      </c>
      <c r="AG103" s="10">
        <v>3731</v>
      </c>
      <c r="AH103" s="10">
        <v>5744</v>
      </c>
      <c r="AI103" s="10">
        <v>3609</v>
      </c>
      <c r="AJ103" s="10">
        <v>4935</v>
      </c>
      <c r="AK103" s="10">
        <v>5561</v>
      </c>
      <c r="AL103" s="10">
        <v>6987</v>
      </c>
      <c r="AM103" s="10">
        <v>6813</v>
      </c>
      <c r="AN103" s="10">
        <v>8826</v>
      </c>
      <c r="AO103" s="10">
        <v>10839</v>
      </c>
      <c r="AP103" s="10">
        <v>11876</v>
      </c>
      <c r="AQ103" s="10">
        <v>13208</v>
      </c>
      <c r="AR103" s="10">
        <v>14184</v>
      </c>
      <c r="AS103" s="10">
        <v>16197</v>
      </c>
      <c r="AT103" s="10">
        <v>20160</v>
      </c>
      <c r="AU103" s="10">
        <v>21492</v>
      </c>
      <c r="AV103" s="10">
        <v>23505</v>
      </c>
      <c r="AW103" s="10">
        <v>25518</v>
      </c>
      <c r="AX103" s="10">
        <v>27531</v>
      </c>
      <c r="AY103" s="10">
        <v>31262</v>
      </c>
      <c r="AZ103" s="10">
        <v>34993</v>
      </c>
      <c r="BA103" s="10">
        <v>38724</v>
      </c>
      <c r="BB103" s="10">
        <v>40737</v>
      </c>
      <c r="BC103" s="10">
        <v>42750</v>
      </c>
      <c r="BD103" s="10">
        <v>44763</v>
      </c>
      <c r="BE103" s="10">
        <v>46776</v>
      </c>
      <c r="BF103" s="10">
        <v>48789</v>
      </c>
      <c r="BG103" s="10">
        <v>50802</v>
      </c>
      <c r="BH103" s="10">
        <v>52815</v>
      </c>
      <c r="BI103" s="10">
        <v>54828</v>
      </c>
      <c r="BJ103" s="10">
        <v>56841</v>
      </c>
      <c r="BK103" s="10">
        <v>58854</v>
      </c>
      <c r="BL103" s="10">
        <v>60867</v>
      </c>
      <c r="BM103" s="10">
        <v>62880</v>
      </c>
      <c r="BN103" s="10">
        <v>64893</v>
      </c>
      <c r="BO103" s="10">
        <v>0</v>
      </c>
      <c r="BP103" s="10">
        <v>2013</v>
      </c>
      <c r="BQ103" s="10">
        <v>4026</v>
      </c>
      <c r="BR103" s="10">
        <v>6039</v>
      </c>
      <c r="BS103" s="10">
        <v>8052</v>
      </c>
      <c r="BT103" s="10">
        <v>10065</v>
      </c>
      <c r="BU103" s="10">
        <v>12078</v>
      </c>
      <c r="BV103" s="10">
        <v>14091</v>
      </c>
      <c r="BW103" s="10">
        <v>16104</v>
      </c>
      <c r="BX103" s="10">
        <v>18117</v>
      </c>
      <c r="BY103" s="10">
        <v>18117</v>
      </c>
      <c r="BZ103" s="10">
        <v>18117</v>
      </c>
      <c r="CA103" s="10">
        <v>18117</v>
      </c>
    </row>
    <row r="104" spans="1:79" x14ac:dyDescent="0.3">
      <c r="A104" s="9" t="s">
        <v>291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48343.199999999997</v>
      </c>
      <c r="AF104" s="10">
        <v>50190.83</v>
      </c>
      <c r="AG104" s="10">
        <v>52403.56</v>
      </c>
      <c r="AH104" s="10">
        <v>55255.56</v>
      </c>
      <c r="AI104" s="10">
        <v>58059.56</v>
      </c>
      <c r="AJ104" s="10">
        <v>59083.56</v>
      </c>
      <c r="AK104" s="10">
        <v>59542.559999999998</v>
      </c>
      <c r="AL104" s="10">
        <v>55995.56</v>
      </c>
      <c r="AM104" s="10">
        <v>57809.56</v>
      </c>
      <c r="AN104" s="10">
        <v>60403.56</v>
      </c>
      <c r="AO104" s="10">
        <v>61890.559999999998</v>
      </c>
      <c r="AP104" s="10">
        <v>65077.56</v>
      </c>
      <c r="AQ104" s="10">
        <v>65879.56</v>
      </c>
      <c r="AR104" s="10">
        <v>72328.56</v>
      </c>
      <c r="AS104" s="10">
        <v>75180.56</v>
      </c>
      <c r="AT104" s="10">
        <v>78886.559999999998</v>
      </c>
      <c r="AU104" s="10">
        <v>80991.56</v>
      </c>
      <c r="AV104" s="10">
        <v>82474.559999999998</v>
      </c>
      <c r="AW104" s="10">
        <v>74785.56</v>
      </c>
      <c r="AX104" s="10">
        <v>65621.56</v>
      </c>
      <c r="AY104" s="10">
        <v>70005.56</v>
      </c>
      <c r="AZ104" s="10">
        <v>71504.56</v>
      </c>
      <c r="BA104" s="10">
        <v>72841.56</v>
      </c>
      <c r="BB104" s="10">
        <v>72841.56</v>
      </c>
      <c r="BC104" s="10">
        <v>72841.56</v>
      </c>
      <c r="BD104" s="10">
        <v>72841.56</v>
      </c>
      <c r="BE104" s="10">
        <v>72841.56</v>
      </c>
      <c r="BF104" s="10">
        <v>72841.56</v>
      </c>
      <c r="BG104" s="10">
        <v>72841.56</v>
      </c>
      <c r="BH104" s="10">
        <v>72841.56</v>
      </c>
      <c r="BI104" s="10">
        <v>72841.56</v>
      </c>
      <c r="BJ104" s="10">
        <v>72841.56</v>
      </c>
      <c r="BK104" s="10">
        <v>72841.56</v>
      </c>
      <c r="BL104" s="10">
        <v>72841.56</v>
      </c>
      <c r="BM104" s="10">
        <v>72841.56</v>
      </c>
      <c r="BN104" s="10">
        <v>72841.56</v>
      </c>
      <c r="BO104" s="10">
        <v>81674.399999999994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</row>
    <row r="105" spans="1:79" x14ac:dyDescent="0.3">
      <c r="A105" s="11" t="s">
        <v>292</v>
      </c>
      <c r="B105" s="6">
        <f t="shared" ref="B105:BM105" si="27">SUM(B103:B104)</f>
        <v>0</v>
      </c>
      <c r="C105" s="6">
        <f t="shared" si="27"/>
        <v>0</v>
      </c>
      <c r="D105" s="6">
        <f t="shared" si="27"/>
        <v>0</v>
      </c>
      <c r="E105" s="6">
        <f t="shared" si="27"/>
        <v>0</v>
      </c>
      <c r="F105" s="6">
        <f t="shared" si="27"/>
        <v>0</v>
      </c>
      <c r="G105" s="6">
        <f t="shared" si="27"/>
        <v>0</v>
      </c>
      <c r="H105" s="6">
        <f t="shared" si="27"/>
        <v>0</v>
      </c>
      <c r="I105" s="6">
        <f t="shared" si="27"/>
        <v>0</v>
      </c>
      <c r="J105" s="6">
        <f t="shared" si="27"/>
        <v>0</v>
      </c>
      <c r="K105" s="6">
        <f t="shared" si="27"/>
        <v>0</v>
      </c>
      <c r="L105" s="6">
        <f t="shared" si="27"/>
        <v>0</v>
      </c>
      <c r="M105" s="6">
        <f t="shared" si="27"/>
        <v>0</v>
      </c>
      <c r="N105" s="6">
        <f t="shared" si="27"/>
        <v>0</v>
      </c>
      <c r="O105" s="6">
        <f t="shared" si="27"/>
        <v>0</v>
      </c>
      <c r="P105" s="6">
        <f t="shared" si="27"/>
        <v>0</v>
      </c>
      <c r="Q105" s="6">
        <f t="shared" si="27"/>
        <v>0</v>
      </c>
      <c r="R105" s="6">
        <f t="shared" si="27"/>
        <v>0</v>
      </c>
      <c r="S105" s="6">
        <f t="shared" si="27"/>
        <v>0</v>
      </c>
      <c r="T105" s="6">
        <f t="shared" si="27"/>
        <v>0</v>
      </c>
      <c r="U105" s="6">
        <f t="shared" si="27"/>
        <v>0</v>
      </c>
      <c r="V105" s="6">
        <f t="shared" si="27"/>
        <v>0</v>
      </c>
      <c r="W105" s="6">
        <f t="shared" si="27"/>
        <v>0</v>
      </c>
      <c r="X105" s="6">
        <f t="shared" si="27"/>
        <v>0</v>
      </c>
      <c r="Y105" s="6">
        <f t="shared" si="27"/>
        <v>0</v>
      </c>
      <c r="Z105" s="6">
        <f t="shared" si="27"/>
        <v>0</v>
      </c>
      <c r="AA105" s="6">
        <f t="shared" si="27"/>
        <v>0</v>
      </c>
      <c r="AB105" s="6">
        <f t="shared" si="27"/>
        <v>0</v>
      </c>
      <c r="AC105" s="6">
        <f t="shared" si="27"/>
        <v>0</v>
      </c>
      <c r="AD105" s="6">
        <f t="shared" si="27"/>
        <v>0</v>
      </c>
      <c r="AE105" s="6">
        <f t="shared" si="27"/>
        <v>48343.199999999997</v>
      </c>
      <c r="AF105" s="6">
        <f t="shared" si="27"/>
        <v>51908.83</v>
      </c>
      <c r="AG105" s="6">
        <f t="shared" si="27"/>
        <v>56134.559999999998</v>
      </c>
      <c r="AH105" s="6">
        <f t="shared" si="27"/>
        <v>60999.56</v>
      </c>
      <c r="AI105" s="6">
        <f t="shared" si="27"/>
        <v>61668.56</v>
      </c>
      <c r="AJ105" s="6">
        <f t="shared" si="27"/>
        <v>64018.559999999998</v>
      </c>
      <c r="AK105" s="6">
        <f t="shared" si="27"/>
        <v>65103.56</v>
      </c>
      <c r="AL105" s="6">
        <f t="shared" si="27"/>
        <v>62982.559999999998</v>
      </c>
      <c r="AM105" s="6">
        <f t="shared" si="27"/>
        <v>64622.559999999998</v>
      </c>
      <c r="AN105" s="6">
        <f t="shared" si="27"/>
        <v>69229.56</v>
      </c>
      <c r="AO105" s="6">
        <f t="shared" si="27"/>
        <v>72729.56</v>
      </c>
      <c r="AP105" s="6">
        <f t="shared" si="27"/>
        <v>76953.56</v>
      </c>
      <c r="AQ105" s="6">
        <f t="shared" si="27"/>
        <v>79087.56</v>
      </c>
      <c r="AR105" s="6">
        <f t="shared" si="27"/>
        <v>86512.56</v>
      </c>
      <c r="AS105" s="6">
        <f t="shared" si="27"/>
        <v>91377.56</v>
      </c>
      <c r="AT105" s="6">
        <f t="shared" si="27"/>
        <v>99046.56</v>
      </c>
      <c r="AU105" s="6">
        <f t="shared" si="27"/>
        <v>102483.56</v>
      </c>
      <c r="AV105" s="6">
        <f t="shared" si="27"/>
        <v>105979.56</v>
      </c>
      <c r="AW105" s="6">
        <f t="shared" si="27"/>
        <v>100303.56</v>
      </c>
      <c r="AX105" s="6">
        <f t="shared" si="27"/>
        <v>93152.56</v>
      </c>
      <c r="AY105" s="6">
        <f t="shared" si="27"/>
        <v>101267.56</v>
      </c>
      <c r="AZ105" s="6">
        <f t="shared" si="27"/>
        <v>106497.56</v>
      </c>
      <c r="BA105" s="6">
        <f t="shared" si="27"/>
        <v>111565.56</v>
      </c>
      <c r="BB105" s="6">
        <f t="shared" si="27"/>
        <v>113578.56</v>
      </c>
      <c r="BC105" s="6">
        <f t="shared" si="27"/>
        <v>115591.56</v>
      </c>
      <c r="BD105" s="6">
        <f t="shared" si="27"/>
        <v>117604.56</v>
      </c>
      <c r="BE105" s="6">
        <f t="shared" si="27"/>
        <v>119617.56</v>
      </c>
      <c r="BF105" s="6">
        <f t="shared" si="27"/>
        <v>121630.56</v>
      </c>
      <c r="BG105" s="6">
        <f t="shared" si="27"/>
        <v>123643.56</v>
      </c>
      <c r="BH105" s="6">
        <f t="shared" si="27"/>
        <v>125656.56</v>
      </c>
      <c r="BI105" s="6">
        <f t="shared" si="27"/>
        <v>127669.56</v>
      </c>
      <c r="BJ105" s="6">
        <f t="shared" si="27"/>
        <v>129682.56</v>
      </c>
      <c r="BK105" s="6">
        <f t="shared" si="27"/>
        <v>131695.56</v>
      </c>
      <c r="BL105" s="6">
        <f t="shared" si="27"/>
        <v>133708.56</v>
      </c>
      <c r="BM105" s="6">
        <f t="shared" si="27"/>
        <v>135721.56</v>
      </c>
      <c r="BN105" s="6">
        <f t="shared" ref="BN105:CA105" si="28">SUM(BN103:BN104)</f>
        <v>137734.56</v>
      </c>
      <c r="BO105" s="6">
        <f t="shared" si="28"/>
        <v>81674.399999999994</v>
      </c>
      <c r="BP105" s="6">
        <f t="shared" si="28"/>
        <v>2013</v>
      </c>
      <c r="BQ105" s="6">
        <f t="shared" si="28"/>
        <v>4026</v>
      </c>
      <c r="BR105" s="6">
        <f t="shared" si="28"/>
        <v>6039</v>
      </c>
      <c r="BS105" s="6">
        <f t="shared" si="28"/>
        <v>8052</v>
      </c>
      <c r="BT105" s="6">
        <f t="shared" si="28"/>
        <v>10065</v>
      </c>
      <c r="BU105" s="6">
        <f t="shared" si="28"/>
        <v>12078</v>
      </c>
      <c r="BV105" s="6">
        <f t="shared" si="28"/>
        <v>14091</v>
      </c>
      <c r="BW105" s="6">
        <f t="shared" si="28"/>
        <v>16104</v>
      </c>
      <c r="BX105" s="6">
        <f t="shared" si="28"/>
        <v>18117</v>
      </c>
      <c r="BY105" s="6">
        <f t="shared" si="28"/>
        <v>18117</v>
      </c>
      <c r="BZ105" s="6">
        <f t="shared" si="28"/>
        <v>18117</v>
      </c>
      <c r="CA105" s="6">
        <f t="shared" si="28"/>
        <v>18117</v>
      </c>
    </row>
    <row r="106" spans="1:79" x14ac:dyDescent="0.3">
      <c r="A106" s="12" t="s">
        <v>293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14742.05</v>
      </c>
      <c r="BZ106" s="10">
        <v>13152.32</v>
      </c>
      <c r="CA106" s="10">
        <v>11562.59</v>
      </c>
    </row>
    <row r="107" spans="1:79" x14ac:dyDescent="0.3">
      <c r="A107" s="12" t="s">
        <v>294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-581739.99</v>
      </c>
    </row>
    <row r="108" spans="1:79" x14ac:dyDescent="0.3">
      <c r="A108" s="5" t="s">
        <v>295</v>
      </c>
      <c r="B108" s="6">
        <f t="shared" ref="B108:BM108" si="29">SUM(B81,B100,B105,B82:B84,B86:B88,B101,B106:B107)</f>
        <v>38481.120000000003</v>
      </c>
      <c r="C108" s="6">
        <f t="shared" si="29"/>
        <v>41487.870000000003</v>
      </c>
      <c r="D108" s="6">
        <f t="shared" si="29"/>
        <v>31469.700000000004</v>
      </c>
      <c r="E108" s="6">
        <f t="shared" si="29"/>
        <v>37828.620000000003</v>
      </c>
      <c r="F108" s="6">
        <f t="shared" si="29"/>
        <v>43140.480000000003</v>
      </c>
      <c r="G108" s="6">
        <f t="shared" si="29"/>
        <v>25285.670000000002</v>
      </c>
      <c r="H108" s="6">
        <f t="shared" si="29"/>
        <v>98284.66</v>
      </c>
      <c r="I108" s="6">
        <f t="shared" si="29"/>
        <v>101578.18</v>
      </c>
      <c r="J108" s="6">
        <f t="shared" si="29"/>
        <v>84702.289999999979</v>
      </c>
      <c r="K108" s="6">
        <f t="shared" si="29"/>
        <v>95989.83</v>
      </c>
      <c r="L108" s="6">
        <f t="shared" si="29"/>
        <v>109645.81999999996</v>
      </c>
      <c r="M108" s="6">
        <f t="shared" si="29"/>
        <v>82179.799999999988</v>
      </c>
      <c r="N108" s="6">
        <f t="shared" si="29"/>
        <v>83210.849999999991</v>
      </c>
      <c r="O108" s="6">
        <f t="shared" si="29"/>
        <v>95993.8</v>
      </c>
      <c r="P108" s="6">
        <f t="shared" si="29"/>
        <v>112709.79999999999</v>
      </c>
      <c r="Q108" s="6">
        <f t="shared" si="29"/>
        <v>115868.83</v>
      </c>
      <c r="R108" s="6">
        <f t="shared" si="29"/>
        <v>120701.05999999998</v>
      </c>
      <c r="S108" s="6">
        <f t="shared" si="29"/>
        <v>102789.76999999999</v>
      </c>
      <c r="T108" s="6">
        <f t="shared" si="29"/>
        <v>109862.79000000001</v>
      </c>
      <c r="U108" s="6">
        <f t="shared" si="29"/>
        <v>22966.910000000003</v>
      </c>
      <c r="V108" s="6">
        <f t="shared" si="29"/>
        <v>1983.5600000000034</v>
      </c>
      <c r="W108" s="6">
        <f t="shared" si="29"/>
        <v>6704.5199999999977</v>
      </c>
      <c r="X108" s="6">
        <f t="shared" si="29"/>
        <v>-3189.8299999999899</v>
      </c>
      <c r="Y108" s="6">
        <f t="shared" si="29"/>
        <v>-7799.96</v>
      </c>
      <c r="Z108" s="6">
        <f t="shared" si="29"/>
        <v>-8735.6400000000103</v>
      </c>
      <c r="AA108" s="6">
        <f t="shared" si="29"/>
        <v>-5832.6200000000181</v>
      </c>
      <c r="AB108" s="6">
        <f t="shared" si="29"/>
        <v>-18628.990000000005</v>
      </c>
      <c r="AC108" s="6">
        <f t="shared" si="29"/>
        <v>-19016.579999999998</v>
      </c>
      <c r="AD108" s="6">
        <f t="shared" si="29"/>
        <v>-13925.980000000001</v>
      </c>
      <c r="AE108" s="6">
        <f t="shared" si="29"/>
        <v>34138.319999999985</v>
      </c>
      <c r="AF108" s="6">
        <f t="shared" si="29"/>
        <v>48722.87999999999</v>
      </c>
      <c r="AG108" s="6">
        <f t="shared" si="29"/>
        <v>91333.609999999986</v>
      </c>
      <c r="AH108" s="6">
        <f t="shared" si="29"/>
        <v>48327.199999999997</v>
      </c>
      <c r="AI108" s="6">
        <f t="shared" si="29"/>
        <v>49927.089999999982</v>
      </c>
      <c r="AJ108" s="6">
        <f t="shared" si="29"/>
        <v>59862.199999999961</v>
      </c>
      <c r="AK108" s="6">
        <f t="shared" si="29"/>
        <v>35163.679999999978</v>
      </c>
      <c r="AL108" s="6">
        <f t="shared" si="29"/>
        <v>47256.139999999985</v>
      </c>
      <c r="AM108" s="6">
        <f t="shared" si="29"/>
        <v>56404.619999999988</v>
      </c>
      <c r="AN108" s="6">
        <f t="shared" si="29"/>
        <v>43864.330000000009</v>
      </c>
      <c r="AO108" s="6">
        <f t="shared" si="29"/>
        <v>52168.329999999994</v>
      </c>
      <c r="AP108" s="6">
        <f t="shared" si="29"/>
        <v>78349.959999999963</v>
      </c>
      <c r="AQ108" s="6">
        <f t="shared" si="29"/>
        <v>41737.99</v>
      </c>
      <c r="AR108" s="6">
        <f t="shared" si="29"/>
        <v>51412.419999999976</v>
      </c>
      <c r="AS108" s="6">
        <f t="shared" si="29"/>
        <v>60941.319999999971</v>
      </c>
      <c r="AT108" s="6">
        <f t="shared" si="29"/>
        <v>62258.099999999991</v>
      </c>
      <c r="AU108" s="6">
        <f t="shared" si="29"/>
        <v>58628.950000000004</v>
      </c>
      <c r="AV108" s="6">
        <f t="shared" si="29"/>
        <v>86040.069999999978</v>
      </c>
      <c r="AW108" s="6">
        <f t="shared" si="29"/>
        <v>88651.659999999974</v>
      </c>
      <c r="AX108" s="6">
        <f t="shared" si="29"/>
        <v>75351.839999999997</v>
      </c>
      <c r="AY108" s="6">
        <f t="shared" si="29"/>
        <v>86866.12</v>
      </c>
      <c r="AZ108" s="6">
        <f t="shared" si="29"/>
        <v>70390.91</v>
      </c>
      <c r="BA108" s="6">
        <f t="shared" si="29"/>
        <v>132623.32999999999</v>
      </c>
      <c r="BB108" s="6">
        <f t="shared" si="29"/>
        <v>133521.45999999996</v>
      </c>
      <c r="BC108" s="6">
        <f t="shared" si="29"/>
        <v>53677.65</v>
      </c>
      <c r="BD108" s="6">
        <f t="shared" si="29"/>
        <v>26049.499999999989</v>
      </c>
      <c r="BE108" s="6">
        <f t="shared" si="29"/>
        <v>27786.569999999985</v>
      </c>
      <c r="BF108" s="6">
        <f t="shared" si="29"/>
        <v>99970.01999999996</v>
      </c>
      <c r="BG108" s="6">
        <f t="shared" si="29"/>
        <v>170189.31000000003</v>
      </c>
      <c r="BH108" s="6">
        <f t="shared" si="29"/>
        <v>182351.69</v>
      </c>
      <c r="BI108" s="6">
        <f t="shared" si="29"/>
        <v>111696.78999999998</v>
      </c>
      <c r="BJ108" s="6">
        <f t="shared" si="29"/>
        <v>103054.82</v>
      </c>
      <c r="BK108" s="6">
        <f t="shared" si="29"/>
        <v>114858.93</v>
      </c>
      <c r="BL108" s="6">
        <f t="shared" si="29"/>
        <v>187913.68999999994</v>
      </c>
      <c r="BM108" s="6">
        <f t="shared" si="29"/>
        <v>206758.95</v>
      </c>
      <c r="BN108" s="6">
        <f t="shared" ref="BN108:CA108" si="30">SUM(BN81,BN100,BN105,BN82:BN84,BN86:BN88,BN101,BN106:BN107)</f>
        <v>201174.79999999996</v>
      </c>
      <c r="BO108" s="6">
        <f t="shared" si="30"/>
        <v>370692.19000000006</v>
      </c>
      <c r="BP108" s="6">
        <f t="shared" si="30"/>
        <v>185549.44000000006</v>
      </c>
      <c r="BQ108" s="6">
        <f t="shared" si="30"/>
        <v>104820.76999999999</v>
      </c>
      <c r="BR108" s="6">
        <f t="shared" si="30"/>
        <v>-5421.1899999999732</v>
      </c>
      <c r="BS108" s="6">
        <f t="shared" si="30"/>
        <v>-50424.76999999999</v>
      </c>
      <c r="BT108" s="6">
        <f t="shared" si="30"/>
        <v>-140789.87999999998</v>
      </c>
      <c r="BU108" s="6">
        <f t="shared" si="30"/>
        <v>-269645.55</v>
      </c>
      <c r="BV108" s="6">
        <f t="shared" si="30"/>
        <v>-372517.06000000006</v>
      </c>
      <c r="BW108" s="6">
        <f t="shared" si="30"/>
        <v>-210610.51000000007</v>
      </c>
      <c r="BX108" s="6">
        <f t="shared" si="30"/>
        <v>-337681.68999999994</v>
      </c>
      <c r="BY108" s="6">
        <f t="shared" si="30"/>
        <v>-239584.44999999995</v>
      </c>
      <c r="BZ108" s="6">
        <f t="shared" si="30"/>
        <v>-228857.1999999999</v>
      </c>
      <c r="CA108" s="6">
        <f t="shared" si="30"/>
        <v>-255710.27000000002</v>
      </c>
    </row>
    <row r="109" spans="1:79" x14ac:dyDescent="0.3">
      <c r="A109" s="5" t="s">
        <v>296</v>
      </c>
      <c r="B109" s="6">
        <f t="shared" ref="B109:AG109" si="31">0+SUM(B69)+B73+B108</f>
        <v>72879.420000000013</v>
      </c>
      <c r="C109" s="6">
        <f t="shared" si="31"/>
        <v>66435.790000000008</v>
      </c>
      <c r="D109" s="6">
        <f t="shared" si="31"/>
        <v>60830.33</v>
      </c>
      <c r="E109" s="6">
        <f t="shared" si="31"/>
        <v>52811.210000000006</v>
      </c>
      <c r="F109" s="6">
        <f t="shared" si="31"/>
        <v>57531.950000000004</v>
      </c>
      <c r="G109" s="6">
        <f t="shared" si="31"/>
        <v>105887.93</v>
      </c>
      <c r="H109" s="6">
        <f t="shared" si="31"/>
        <v>114998.40000000001</v>
      </c>
      <c r="I109" s="6">
        <f t="shared" si="31"/>
        <v>112556.57999999999</v>
      </c>
      <c r="J109" s="6">
        <f t="shared" si="31"/>
        <v>90720.839999999982</v>
      </c>
      <c r="K109" s="6">
        <f t="shared" si="31"/>
        <v>103986.65</v>
      </c>
      <c r="L109" s="6">
        <f t="shared" si="31"/>
        <v>113677.35999999996</v>
      </c>
      <c r="M109" s="6">
        <f t="shared" si="31"/>
        <v>83097.529999999984</v>
      </c>
      <c r="N109" s="6">
        <f t="shared" si="31"/>
        <v>101135.79</v>
      </c>
      <c r="O109" s="6">
        <f t="shared" si="31"/>
        <v>140749.20000000001</v>
      </c>
      <c r="P109" s="6">
        <f t="shared" si="31"/>
        <v>102385.76999999999</v>
      </c>
      <c r="Q109" s="6">
        <f t="shared" si="31"/>
        <v>101174.96</v>
      </c>
      <c r="R109" s="6">
        <f t="shared" si="31"/>
        <v>132112.22999999998</v>
      </c>
      <c r="S109" s="6">
        <f t="shared" si="31"/>
        <v>58041.87999999999</v>
      </c>
      <c r="T109" s="6">
        <f t="shared" si="31"/>
        <v>52885.380000000012</v>
      </c>
      <c r="U109" s="6">
        <f t="shared" si="31"/>
        <v>-29183.799999999988</v>
      </c>
      <c r="V109" s="6">
        <f t="shared" si="31"/>
        <v>-62315.989999999991</v>
      </c>
      <c r="W109" s="6">
        <f t="shared" si="31"/>
        <v>-57529.31</v>
      </c>
      <c r="X109" s="6">
        <f t="shared" si="31"/>
        <v>-65623.62999999999</v>
      </c>
      <c r="Y109" s="6">
        <f t="shared" si="31"/>
        <v>-80418.7</v>
      </c>
      <c r="Z109" s="6">
        <f t="shared" si="31"/>
        <v>-78289.91</v>
      </c>
      <c r="AA109" s="6">
        <f t="shared" si="31"/>
        <v>-63334.130000000012</v>
      </c>
      <c r="AB109" s="6">
        <f t="shared" si="31"/>
        <v>-33240.250000000015</v>
      </c>
      <c r="AC109" s="6">
        <f t="shared" si="31"/>
        <v>-11408.079999999998</v>
      </c>
      <c r="AD109" s="6">
        <f t="shared" si="31"/>
        <v>-7209.1700000000037</v>
      </c>
      <c r="AE109" s="6">
        <f t="shared" si="31"/>
        <v>27195.589999999975</v>
      </c>
      <c r="AF109" s="6">
        <f t="shared" si="31"/>
        <v>-3746.640000000014</v>
      </c>
      <c r="AG109" s="6">
        <f t="shared" si="31"/>
        <v>67919.469999999972</v>
      </c>
      <c r="AH109" s="6">
        <f t="shared" ref="AH109:BM109" si="32">0+SUM(AH69)+AH73+AH108</f>
        <v>-2386.4400000000096</v>
      </c>
      <c r="AI109" s="6">
        <f t="shared" si="32"/>
        <v>7740.9599999999773</v>
      </c>
      <c r="AJ109" s="6">
        <f t="shared" si="32"/>
        <v>35470.829999999958</v>
      </c>
      <c r="AK109" s="6">
        <f t="shared" si="32"/>
        <v>47160.64999999998</v>
      </c>
      <c r="AL109" s="6">
        <f t="shared" si="32"/>
        <v>48362.329999999973</v>
      </c>
      <c r="AM109" s="6">
        <f t="shared" si="32"/>
        <v>71028.799999999988</v>
      </c>
      <c r="AN109" s="6">
        <f t="shared" si="32"/>
        <v>85988.709999999992</v>
      </c>
      <c r="AO109" s="6">
        <f t="shared" si="32"/>
        <v>129041.74999999997</v>
      </c>
      <c r="AP109" s="6">
        <f t="shared" si="32"/>
        <v>143075.52999999997</v>
      </c>
      <c r="AQ109" s="6">
        <f t="shared" si="32"/>
        <v>95479.6</v>
      </c>
      <c r="AR109" s="6">
        <f t="shared" si="32"/>
        <v>125557.59999999998</v>
      </c>
      <c r="AS109" s="6">
        <f t="shared" si="32"/>
        <v>121710.39999999997</v>
      </c>
      <c r="AT109" s="6">
        <f t="shared" si="32"/>
        <v>129114.25999999998</v>
      </c>
      <c r="AU109" s="6">
        <f t="shared" si="32"/>
        <v>60552.54</v>
      </c>
      <c r="AV109" s="6">
        <f t="shared" si="32"/>
        <v>107095.87999999998</v>
      </c>
      <c r="AW109" s="6">
        <f t="shared" si="32"/>
        <v>69603.379999999976</v>
      </c>
      <c r="AX109" s="6">
        <f t="shared" si="32"/>
        <v>182990.88</v>
      </c>
      <c r="AY109" s="6">
        <f t="shared" si="32"/>
        <v>162327.91</v>
      </c>
      <c r="AZ109" s="6">
        <f t="shared" si="32"/>
        <v>240636.84</v>
      </c>
      <c r="BA109" s="6">
        <f t="shared" si="32"/>
        <v>271242.78999999998</v>
      </c>
      <c r="BB109" s="6">
        <f t="shared" si="32"/>
        <v>267360.34999999998</v>
      </c>
      <c r="BC109" s="6">
        <f t="shared" si="32"/>
        <v>265068</v>
      </c>
      <c r="BD109" s="6">
        <f t="shared" si="32"/>
        <v>394637.57</v>
      </c>
      <c r="BE109" s="6">
        <f t="shared" si="32"/>
        <v>580367.46999999986</v>
      </c>
      <c r="BF109" s="6">
        <f t="shared" si="32"/>
        <v>472838.3</v>
      </c>
      <c r="BG109" s="6">
        <f t="shared" si="32"/>
        <v>352341.71</v>
      </c>
      <c r="BH109" s="6">
        <f t="shared" si="32"/>
        <v>285030.11</v>
      </c>
      <c r="BI109" s="6">
        <f t="shared" si="32"/>
        <v>242775.00999999998</v>
      </c>
      <c r="BJ109" s="6">
        <f t="shared" si="32"/>
        <v>233831.36000000002</v>
      </c>
      <c r="BK109" s="6">
        <f t="shared" si="32"/>
        <v>185242.05000000002</v>
      </c>
      <c r="BL109" s="6">
        <f t="shared" si="32"/>
        <v>183439.69999999995</v>
      </c>
      <c r="BM109" s="6">
        <f t="shared" si="32"/>
        <v>238957.07</v>
      </c>
      <c r="BN109" s="6">
        <f t="shared" ref="BN109:CA109" si="33">0+SUM(BN69)+BN73+BN108</f>
        <v>209763.71999999997</v>
      </c>
      <c r="BO109" s="6">
        <f t="shared" si="33"/>
        <v>507604.45000000007</v>
      </c>
      <c r="BP109" s="6">
        <f t="shared" si="33"/>
        <v>355181.9800000001</v>
      </c>
      <c r="BQ109" s="6">
        <f t="shared" si="33"/>
        <v>327815.05000000005</v>
      </c>
      <c r="BR109" s="6">
        <f t="shared" si="33"/>
        <v>226165.42</v>
      </c>
      <c r="BS109" s="6">
        <f t="shared" si="33"/>
        <v>204555.80000000002</v>
      </c>
      <c r="BT109" s="6">
        <f t="shared" si="33"/>
        <v>136504.48000000001</v>
      </c>
      <c r="BU109" s="6">
        <f t="shared" si="33"/>
        <v>33869.359999999986</v>
      </c>
      <c r="BV109" s="6">
        <f t="shared" si="33"/>
        <v>-78971.070000000065</v>
      </c>
      <c r="BW109" s="6">
        <f t="shared" si="33"/>
        <v>-100818.48000000007</v>
      </c>
      <c r="BX109" s="6">
        <f t="shared" si="33"/>
        <v>-189231.82999999996</v>
      </c>
      <c r="BY109" s="6">
        <f t="shared" si="33"/>
        <v>-180498.16999999995</v>
      </c>
      <c r="BZ109" s="6">
        <f t="shared" si="33"/>
        <v>-150063.74999999988</v>
      </c>
      <c r="CA109" s="6">
        <f t="shared" si="33"/>
        <v>-157223.43000000002</v>
      </c>
    </row>
    <row r="110" spans="1:79" x14ac:dyDescent="0.3">
      <c r="A110" s="5" t="s">
        <v>297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</row>
    <row r="111" spans="1:79" x14ac:dyDescent="0.3">
      <c r="A111" s="12" t="s">
        <v>298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-199.96</v>
      </c>
      <c r="AP111" s="10">
        <v>-199.96</v>
      </c>
      <c r="AQ111" s="10">
        <v>-199.96</v>
      </c>
      <c r="AR111" s="10">
        <v>-199.96</v>
      </c>
      <c r="AS111" s="10">
        <v>-199.96</v>
      </c>
      <c r="AT111" s="10">
        <v>-199.96</v>
      </c>
      <c r="AU111" s="10">
        <v>-199.96</v>
      </c>
      <c r="AV111" s="10">
        <v>-199.96</v>
      </c>
      <c r="AW111" s="10">
        <v>-199.96</v>
      </c>
      <c r="AX111" s="10">
        <v>-199.96</v>
      </c>
      <c r="AY111" s="10">
        <v>-199.96</v>
      </c>
      <c r="AZ111" s="10">
        <v>-199.96</v>
      </c>
      <c r="BA111" s="10">
        <v>-199.96</v>
      </c>
      <c r="BB111" s="10">
        <v>-199.96</v>
      </c>
      <c r="BC111" s="10">
        <v>-199.96</v>
      </c>
      <c r="BD111" s="10">
        <v>-199.96</v>
      </c>
      <c r="BE111" s="10">
        <v>-496.06</v>
      </c>
      <c r="BF111" s="10">
        <v>-996.06</v>
      </c>
      <c r="BG111" s="10">
        <v>-996.06</v>
      </c>
      <c r="BH111" s="10">
        <v>-1474.71</v>
      </c>
      <c r="BI111" s="10">
        <v>-1474.71</v>
      </c>
      <c r="BJ111" s="10">
        <v>-1474.71</v>
      </c>
      <c r="BK111" s="10">
        <v>-1474.71</v>
      </c>
      <c r="BL111" s="10">
        <v>-1474.71</v>
      </c>
      <c r="BM111" s="10">
        <v>-1474.71</v>
      </c>
      <c r="BN111" s="10">
        <v>8525.2900000000009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</row>
    <row r="112" spans="1:79" x14ac:dyDescent="0.3">
      <c r="A112" s="7" t="s">
        <v>299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</row>
    <row r="113" spans="1:79" x14ac:dyDescent="0.3">
      <c r="A113" s="9" t="s">
        <v>300</v>
      </c>
      <c r="B113" s="10">
        <v>0</v>
      </c>
      <c r="C113" s="10">
        <v>-2000</v>
      </c>
      <c r="D113" s="10">
        <v>33359.39</v>
      </c>
      <c r="E113" s="10">
        <v>32838.97</v>
      </c>
      <c r="F113" s="10">
        <v>32318.55</v>
      </c>
      <c r="G113" s="10">
        <v>31798.13</v>
      </c>
      <c r="H113" s="10">
        <v>31017.5</v>
      </c>
      <c r="I113" s="10">
        <v>30497.08</v>
      </c>
      <c r="J113" s="10">
        <v>29976.66</v>
      </c>
      <c r="K113" s="10">
        <v>29456.240000000002</v>
      </c>
      <c r="L113" s="10">
        <v>28935.82</v>
      </c>
      <c r="M113" s="10">
        <v>28415.4</v>
      </c>
      <c r="N113" s="10">
        <v>27634.77</v>
      </c>
      <c r="O113" s="10">
        <v>27114.35</v>
      </c>
      <c r="P113" s="10">
        <v>26593.93</v>
      </c>
      <c r="Q113" s="10">
        <v>26593.93</v>
      </c>
      <c r="R113" s="10">
        <v>26593.93</v>
      </c>
      <c r="S113" s="10">
        <v>26593.93</v>
      </c>
      <c r="T113" s="10">
        <v>26333.32</v>
      </c>
      <c r="U113" s="10">
        <v>25812.1</v>
      </c>
      <c r="V113" s="10">
        <v>25290.880000000001</v>
      </c>
      <c r="W113" s="10">
        <v>24769.66</v>
      </c>
      <c r="X113" s="10">
        <v>24248.44</v>
      </c>
      <c r="Y113" s="10">
        <v>23466.61</v>
      </c>
      <c r="Z113" s="10">
        <v>22945.39</v>
      </c>
      <c r="AA113" s="10">
        <v>22424.17</v>
      </c>
      <c r="AB113" s="10">
        <v>21902.95</v>
      </c>
      <c r="AC113" s="10">
        <v>21381.73</v>
      </c>
      <c r="AD113" s="10">
        <v>20860.509999999998</v>
      </c>
      <c r="AE113" s="10">
        <v>20078.68</v>
      </c>
      <c r="AF113" s="10">
        <v>19557.46</v>
      </c>
      <c r="AG113" s="10">
        <v>19036.240000000002</v>
      </c>
      <c r="AH113" s="10">
        <v>18515.02</v>
      </c>
      <c r="AI113" s="10">
        <v>17993.8</v>
      </c>
      <c r="AJ113" s="10">
        <v>17472.580000000002</v>
      </c>
      <c r="AK113" s="10">
        <v>16690.75</v>
      </c>
      <c r="AL113" s="10">
        <v>16169.53</v>
      </c>
      <c r="AM113" s="10">
        <v>15648.31</v>
      </c>
      <c r="AN113" s="10">
        <v>15127.09</v>
      </c>
      <c r="AO113" s="10">
        <v>14657.31</v>
      </c>
      <c r="AP113" s="10">
        <v>14136.09</v>
      </c>
      <c r="AQ113" s="10">
        <v>13354.26</v>
      </c>
      <c r="AR113" s="10">
        <v>12833.04</v>
      </c>
      <c r="AS113" s="10">
        <v>12311.82</v>
      </c>
      <c r="AT113" s="10">
        <v>11790.6</v>
      </c>
      <c r="AU113" s="10">
        <v>11269.38</v>
      </c>
      <c r="AV113" s="10">
        <v>10487.55</v>
      </c>
      <c r="AW113" s="10">
        <v>9966.33</v>
      </c>
      <c r="AX113" s="10">
        <v>9445.11</v>
      </c>
      <c r="AY113" s="10">
        <v>8923.89</v>
      </c>
      <c r="AZ113" s="10">
        <v>8402.67</v>
      </c>
      <c r="BA113" s="10">
        <v>7881.45</v>
      </c>
      <c r="BB113" s="10">
        <v>7099.62</v>
      </c>
      <c r="BC113" s="10">
        <v>6578.4</v>
      </c>
      <c r="BD113" s="10">
        <v>6057.18</v>
      </c>
      <c r="BE113" s="10">
        <v>5535.96</v>
      </c>
      <c r="BF113" s="10">
        <v>5014.74</v>
      </c>
      <c r="BG113" s="10">
        <v>4493.5200000000004</v>
      </c>
      <c r="BH113" s="10">
        <v>3711.69</v>
      </c>
      <c r="BI113" s="10">
        <v>3190.47</v>
      </c>
      <c r="BJ113" s="10">
        <v>2669.25</v>
      </c>
      <c r="BK113" s="10">
        <v>2148.0300000000002</v>
      </c>
      <c r="BL113" s="10">
        <v>1626.81</v>
      </c>
      <c r="BM113" s="10">
        <v>1105.5899999999999</v>
      </c>
      <c r="BN113" s="10">
        <v>323.76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0</v>
      </c>
      <c r="CA113" s="10">
        <v>0</v>
      </c>
    </row>
    <row r="114" spans="1:79" x14ac:dyDescent="0.3">
      <c r="A114" s="9" t="s">
        <v>301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36867.67</v>
      </c>
      <c r="AD114" s="10">
        <v>36099.589999999997</v>
      </c>
      <c r="AE114" s="10">
        <v>35331.51</v>
      </c>
      <c r="AF114" s="10">
        <v>34563.43</v>
      </c>
      <c r="AG114" s="10">
        <v>33795.35</v>
      </c>
      <c r="AH114" s="10">
        <v>33027.269999999997</v>
      </c>
      <c r="AI114" s="10">
        <v>32259.19</v>
      </c>
      <c r="AJ114" s="10">
        <v>31491.11</v>
      </c>
      <c r="AK114" s="10">
        <v>30723.03</v>
      </c>
      <c r="AL114" s="10">
        <v>29954.95</v>
      </c>
      <c r="AM114" s="10">
        <v>29186.87</v>
      </c>
      <c r="AN114" s="10">
        <v>28418.79</v>
      </c>
      <c r="AO114" s="10">
        <v>27650.71</v>
      </c>
      <c r="AP114" s="10">
        <v>26882.63</v>
      </c>
      <c r="AQ114" s="10">
        <v>26114.55</v>
      </c>
      <c r="AR114" s="10">
        <v>25346.47</v>
      </c>
      <c r="AS114" s="10">
        <v>24578.39</v>
      </c>
      <c r="AT114" s="10">
        <v>23810.31</v>
      </c>
      <c r="AU114" s="10">
        <v>23042.23</v>
      </c>
      <c r="AV114" s="10">
        <v>22274.15</v>
      </c>
      <c r="AW114" s="10">
        <v>21506.07</v>
      </c>
      <c r="AX114" s="10">
        <v>20737.990000000002</v>
      </c>
      <c r="AY114" s="10">
        <v>19969.91</v>
      </c>
      <c r="AZ114" s="10">
        <v>19201.830000000002</v>
      </c>
      <c r="BA114" s="10">
        <v>18433.75</v>
      </c>
      <c r="BB114" s="10">
        <v>17665.669999999998</v>
      </c>
      <c r="BC114" s="10">
        <v>16897.59</v>
      </c>
      <c r="BD114" s="10">
        <v>16129.51</v>
      </c>
      <c r="BE114" s="10">
        <v>15361.43</v>
      </c>
      <c r="BF114" s="10">
        <v>14593.35</v>
      </c>
      <c r="BG114" s="10">
        <v>13825.27</v>
      </c>
      <c r="BH114" s="10">
        <v>13057.19</v>
      </c>
      <c r="BI114" s="10">
        <v>12289.11</v>
      </c>
      <c r="BJ114" s="10">
        <v>11521.03</v>
      </c>
      <c r="BK114" s="10">
        <v>10752.95</v>
      </c>
      <c r="BL114" s="10">
        <v>9984.8700000000008</v>
      </c>
      <c r="BM114" s="10">
        <v>9216.7900000000009</v>
      </c>
      <c r="BN114" s="10">
        <v>8448.7099999999991</v>
      </c>
      <c r="BO114" s="10">
        <v>7680.63</v>
      </c>
      <c r="BP114" s="10">
        <v>6912.55</v>
      </c>
      <c r="BQ114" s="10">
        <v>6144.47</v>
      </c>
      <c r="BR114" s="10">
        <v>5376.39</v>
      </c>
      <c r="BS114" s="10">
        <v>4608.3100000000004</v>
      </c>
      <c r="BT114" s="10">
        <v>3840.23</v>
      </c>
      <c r="BU114" s="10">
        <v>3072.15</v>
      </c>
      <c r="BV114" s="10">
        <v>2304.0700000000002</v>
      </c>
      <c r="BW114" s="10">
        <v>1535.99</v>
      </c>
      <c r="BX114" s="10">
        <v>767.91</v>
      </c>
      <c r="BY114" s="10">
        <v>767.91</v>
      </c>
      <c r="BZ114" s="10">
        <v>767.91</v>
      </c>
      <c r="CA114" s="10">
        <v>767.91</v>
      </c>
    </row>
    <row r="115" spans="1:79" x14ac:dyDescent="0.3">
      <c r="A115" s="9" t="s">
        <v>302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43370.879999999997</v>
      </c>
      <c r="AQ115" s="10">
        <v>42741.760000000002</v>
      </c>
      <c r="AR115" s="10">
        <v>42112.639999999999</v>
      </c>
      <c r="AS115" s="10">
        <v>41326.239999999998</v>
      </c>
      <c r="AT115" s="10">
        <v>40697.120000000003</v>
      </c>
      <c r="AU115" s="10">
        <v>39910.720000000001</v>
      </c>
      <c r="AV115" s="10">
        <v>39281.599999999999</v>
      </c>
      <c r="AW115" s="10">
        <v>38495.199999999997</v>
      </c>
      <c r="AX115" s="10">
        <v>37866.080000000002</v>
      </c>
      <c r="AY115" s="10">
        <v>37236.959999999999</v>
      </c>
      <c r="AZ115" s="10">
        <v>36607.839999999997</v>
      </c>
      <c r="BA115" s="10">
        <v>35978.720000000001</v>
      </c>
      <c r="BB115" s="10">
        <v>35192.32</v>
      </c>
      <c r="BC115" s="10">
        <v>34563.199999999997</v>
      </c>
      <c r="BD115" s="10">
        <v>33776.800000000003</v>
      </c>
      <c r="BE115" s="10">
        <v>33147.68</v>
      </c>
      <c r="BF115" s="10">
        <v>32518.560000000001</v>
      </c>
      <c r="BG115" s="10">
        <v>31732.16</v>
      </c>
      <c r="BH115" s="10">
        <v>31103.040000000001</v>
      </c>
      <c r="BI115" s="10">
        <v>30316.639999999999</v>
      </c>
      <c r="BJ115" s="10">
        <v>29687.52</v>
      </c>
      <c r="BK115" s="10">
        <v>29058.400000000001</v>
      </c>
      <c r="BL115" s="10">
        <v>28272</v>
      </c>
      <c r="BM115" s="10">
        <v>27642.880000000001</v>
      </c>
      <c r="BN115" s="10">
        <v>27013.759999999998</v>
      </c>
      <c r="BO115" s="10">
        <v>35228.480000000003</v>
      </c>
      <c r="BP115" s="10">
        <v>34442.080000000002</v>
      </c>
      <c r="BQ115" s="10">
        <v>33812.959999999999</v>
      </c>
      <c r="BR115" s="10">
        <v>33026.559999999998</v>
      </c>
      <c r="BS115" s="10">
        <v>32397.439999999999</v>
      </c>
      <c r="BT115" s="10">
        <v>31768.32</v>
      </c>
      <c r="BU115" s="10">
        <v>30981.919999999998</v>
      </c>
      <c r="BV115" s="10">
        <v>30352.799999999999</v>
      </c>
      <c r="BW115" s="10">
        <v>29723.68</v>
      </c>
      <c r="BX115" s="10">
        <v>28937.279999999999</v>
      </c>
      <c r="BY115" s="10">
        <v>28308.16</v>
      </c>
      <c r="BZ115" s="10">
        <v>27679.040000000001</v>
      </c>
      <c r="CA115" s="10">
        <v>26892.639999999999</v>
      </c>
    </row>
    <row r="116" spans="1:79" x14ac:dyDescent="0.3">
      <c r="A116" s="9" t="s">
        <v>303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-1000</v>
      </c>
      <c r="AS116" s="10">
        <v>-1000</v>
      </c>
      <c r="AT116" s="10">
        <v>32521.279999999999</v>
      </c>
      <c r="AU116" s="10">
        <v>32163.84</v>
      </c>
      <c r="AV116" s="10">
        <v>31806.400000000001</v>
      </c>
      <c r="AW116" s="10">
        <v>31448.959999999999</v>
      </c>
      <c r="AX116" s="10">
        <v>31091.52</v>
      </c>
      <c r="AY116" s="10">
        <v>30734.080000000002</v>
      </c>
      <c r="AZ116" s="10">
        <v>30197.919999999998</v>
      </c>
      <c r="BA116" s="10">
        <v>29840.48</v>
      </c>
      <c r="BB116" s="10">
        <v>29483.040000000001</v>
      </c>
      <c r="BC116" s="10">
        <v>29125.599999999999</v>
      </c>
      <c r="BD116" s="10">
        <v>28768.16</v>
      </c>
      <c r="BE116" s="10">
        <v>28232</v>
      </c>
      <c r="BF116" s="10">
        <v>27874.560000000001</v>
      </c>
      <c r="BG116" s="10">
        <v>27517.119999999999</v>
      </c>
      <c r="BH116" s="10">
        <v>27159.68</v>
      </c>
      <c r="BI116" s="10">
        <v>26802.240000000002</v>
      </c>
      <c r="BJ116" s="10">
        <v>26266.080000000002</v>
      </c>
      <c r="BK116" s="10">
        <v>25908.639999999999</v>
      </c>
      <c r="BL116" s="10">
        <v>25551.200000000001</v>
      </c>
      <c r="BM116" s="10">
        <v>25193.759999999998</v>
      </c>
      <c r="BN116" s="10">
        <v>24836.32</v>
      </c>
      <c r="BO116" s="10">
        <v>28373.08</v>
      </c>
      <c r="BP116" s="10">
        <v>27836.92</v>
      </c>
      <c r="BQ116" s="10">
        <v>27479.48</v>
      </c>
      <c r="BR116" s="10">
        <v>27122.04</v>
      </c>
      <c r="BS116" s="10">
        <v>26764.6</v>
      </c>
      <c r="BT116" s="10">
        <v>26407.16</v>
      </c>
      <c r="BU116" s="10">
        <v>26049.72</v>
      </c>
      <c r="BV116" s="10">
        <v>25513.56</v>
      </c>
      <c r="BW116" s="10">
        <v>25156.12</v>
      </c>
      <c r="BX116" s="10">
        <v>24798.68</v>
      </c>
      <c r="BY116" s="10">
        <v>24441.24</v>
      </c>
      <c r="BZ116" s="10">
        <v>24083.8</v>
      </c>
      <c r="CA116" s="10">
        <v>23726.36</v>
      </c>
    </row>
    <row r="117" spans="1:79" x14ac:dyDescent="0.3">
      <c r="A117" s="9" t="s">
        <v>304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31446.52</v>
      </c>
      <c r="AZ117" s="10">
        <v>31052.47</v>
      </c>
      <c r="BA117" s="10">
        <v>30655.84</v>
      </c>
      <c r="BB117" s="10">
        <v>30259.21</v>
      </c>
      <c r="BC117" s="10">
        <v>29862.58</v>
      </c>
      <c r="BD117" s="10">
        <v>29465.95</v>
      </c>
      <c r="BE117" s="10">
        <v>29069.32</v>
      </c>
      <c r="BF117" s="10">
        <v>28672.69</v>
      </c>
      <c r="BG117" s="10">
        <v>28276.06</v>
      </c>
      <c r="BH117" s="10">
        <v>27879.43</v>
      </c>
      <c r="BI117" s="10">
        <v>27482.799999999999</v>
      </c>
      <c r="BJ117" s="10">
        <v>27086.17</v>
      </c>
      <c r="BK117" s="10">
        <v>26689.54</v>
      </c>
      <c r="BL117" s="10">
        <v>26292.91</v>
      </c>
      <c r="BM117" s="10">
        <v>25896.28</v>
      </c>
      <c r="BN117" s="10">
        <v>25499.65</v>
      </c>
      <c r="BO117" s="10">
        <v>30105.9</v>
      </c>
      <c r="BP117" s="10">
        <v>29709.27</v>
      </c>
      <c r="BQ117" s="10">
        <v>29709.27</v>
      </c>
      <c r="BR117" s="10">
        <v>29312.639999999999</v>
      </c>
      <c r="BS117" s="10">
        <v>28916.01</v>
      </c>
      <c r="BT117" s="10">
        <v>28519.38</v>
      </c>
      <c r="BU117" s="10">
        <v>28122.75</v>
      </c>
      <c r="BV117" s="10">
        <v>27726.12</v>
      </c>
      <c r="BW117" s="10">
        <v>27329.49</v>
      </c>
      <c r="BX117" s="10">
        <v>26932.86</v>
      </c>
      <c r="BY117" s="10">
        <v>26536.23</v>
      </c>
      <c r="BZ117" s="10">
        <v>26139.599999999999</v>
      </c>
      <c r="CA117" s="10">
        <v>25742.97</v>
      </c>
    </row>
    <row r="118" spans="1:79" x14ac:dyDescent="0.3">
      <c r="A118" s="9" t="s">
        <v>305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-662.32</v>
      </c>
      <c r="BE118" s="10">
        <v>33347.78</v>
      </c>
      <c r="BF118" s="10">
        <v>32685.46</v>
      </c>
      <c r="BG118" s="10">
        <v>32023.14</v>
      </c>
      <c r="BH118" s="10">
        <v>31195.24</v>
      </c>
      <c r="BI118" s="10">
        <v>30532.92</v>
      </c>
      <c r="BJ118" s="10">
        <v>29870.6</v>
      </c>
      <c r="BK118" s="10">
        <v>29042.7</v>
      </c>
      <c r="BL118" s="10">
        <v>28380.38</v>
      </c>
      <c r="BM118" s="10">
        <v>27718.06</v>
      </c>
      <c r="BN118" s="10">
        <v>26890.16</v>
      </c>
      <c r="BO118" s="10">
        <v>32519.74</v>
      </c>
      <c r="BP118" s="10">
        <v>31857.42</v>
      </c>
      <c r="BQ118" s="10">
        <v>31029.52</v>
      </c>
      <c r="BR118" s="10">
        <v>30367.200000000001</v>
      </c>
      <c r="BS118" s="10">
        <v>29539.3</v>
      </c>
      <c r="BT118" s="10">
        <v>28876.98</v>
      </c>
      <c r="BU118" s="10">
        <v>28214.66</v>
      </c>
      <c r="BV118" s="10">
        <v>27386.76</v>
      </c>
      <c r="BW118" s="10">
        <v>26724.44</v>
      </c>
      <c r="BX118" s="10">
        <v>26062.12</v>
      </c>
      <c r="BY118" s="10">
        <v>25399.8</v>
      </c>
      <c r="BZ118" s="10">
        <v>24571.9</v>
      </c>
      <c r="CA118" s="10">
        <v>23909.58</v>
      </c>
    </row>
    <row r="119" spans="1:79" x14ac:dyDescent="0.3">
      <c r="A119" s="9" t="s">
        <v>306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34170.239999999998</v>
      </c>
      <c r="BE119" s="10">
        <v>33335.54</v>
      </c>
      <c r="BF119" s="10">
        <v>32667.78</v>
      </c>
      <c r="BG119" s="10">
        <v>32166.959999999999</v>
      </c>
      <c r="BH119" s="10">
        <v>32166.959999999999</v>
      </c>
      <c r="BI119" s="10">
        <v>32166.959999999999</v>
      </c>
      <c r="BJ119" s="10">
        <v>32166.959999999999</v>
      </c>
      <c r="BK119" s="10">
        <v>32166.959999999999</v>
      </c>
      <c r="BL119" s="10">
        <v>32166.959999999999</v>
      </c>
      <c r="BM119" s="10">
        <v>32166.959999999999</v>
      </c>
      <c r="BN119" s="10">
        <v>32166.959999999999</v>
      </c>
      <c r="BO119" s="10">
        <v>34323.519999999997</v>
      </c>
      <c r="BP119" s="10">
        <v>34323.519999999997</v>
      </c>
      <c r="BQ119" s="10">
        <v>34323.519999999997</v>
      </c>
      <c r="BR119" s="10">
        <v>34323.519999999997</v>
      </c>
      <c r="BS119" s="10">
        <v>34323.519999999997</v>
      </c>
      <c r="BT119" s="10">
        <v>34323.519999999997</v>
      </c>
      <c r="BU119" s="10">
        <v>34323.519999999997</v>
      </c>
      <c r="BV119" s="10">
        <v>34323.519999999997</v>
      </c>
      <c r="BW119" s="10">
        <v>34323.519999999997</v>
      </c>
      <c r="BX119" s="10">
        <v>34323.519999999997</v>
      </c>
      <c r="BY119" s="10">
        <v>34323.519999999997</v>
      </c>
      <c r="BZ119" s="10">
        <v>34323.519999999997</v>
      </c>
      <c r="CA119" s="10">
        <v>34323.519999999997</v>
      </c>
    </row>
    <row r="120" spans="1:79" x14ac:dyDescent="0.3">
      <c r="A120" s="9" t="s">
        <v>307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139669.20000000001</v>
      </c>
      <c r="BG120" s="10">
        <v>138066.98000000001</v>
      </c>
      <c r="BH120" s="10">
        <v>136456.28</v>
      </c>
      <c r="BI120" s="10">
        <v>134837.06</v>
      </c>
      <c r="BJ120" s="10">
        <v>133209.26999999999</v>
      </c>
      <c r="BK120" s="10">
        <v>131572.87</v>
      </c>
      <c r="BL120" s="10">
        <v>129927.87</v>
      </c>
      <c r="BM120" s="10">
        <v>128274.1</v>
      </c>
      <c r="BN120" s="10">
        <v>126611.58</v>
      </c>
      <c r="BO120" s="10">
        <v>124940.27</v>
      </c>
      <c r="BP120" s="10">
        <v>123260.11</v>
      </c>
      <c r="BQ120" s="10">
        <v>121579.95</v>
      </c>
      <c r="BR120" s="10">
        <v>119899.79</v>
      </c>
      <c r="BS120" s="10">
        <v>118219.63</v>
      </c>
      <c r="BT120" s="10">
        <v>116539.47</v>
      </c>
      <c r="BU120" s="10">
        <v>114859.31</v>
      </c>
      <c r="BV120" s="10">
        <v>113179.15</v>
      </c>
      <c r="BW120" s="10">
        <v>111498.99</v>
      </c>
      <c r="BX120" s="10">
        <v>108900.73</v>
      </c>
      <c r="BY120" s="10">
        <v>107220.57</v>
      </c>
      <c r="BZ120" s="10">
        <v>105540.41</v>
      </c>
      <c r="CA120" s="10">
        <v>103860.25</v>
      </c>
    </row>
    <row r="121" spans="1:79" x14ac:dyDescent="0.3">
      <c r="A121" s="9" t="s">
        <v>308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62088.74</v>
      </c>
      <c r="BH121" s="10">
        <v>62088.74</v>
      </c>
      <c r="BI121" s="10">
        <v>62088.74</v>
      </c>
      <c r="BJ121" s="10">
        <v>62088.74</v>
      </c>
      <c r="BK121" s="10">
        <v>62088.74</v>
      </c>
      <c r="BL121" s="10">
        <v>62088.74</v>
      </c>
      <c r="BM121" s="10">
        <v>62088.74</v>
      </c>
      <c r="BN121" s="10">
        <v>62088.74</v>
      </c>
      <c r="BO121" s="10">
        <v>65614.259999999995</v>
      </c>
      <c r="BP121" s="10">
        <v>65614.259999999995</v>
      </c>
      <c r="BQ121" s="10">
        <v>65614.259999999995</v>
      </c>
      <c r="BR121" s="10">
        <v>65614.259999999995</v>
      </c>
      <c r="BS121" s="10">
        <v>65614.259999999995</v>
      </c>
      <c r="BT121" s="10">
        <v>65614.259999999995</v>
      </c>
      <c r="BU121" s="10">
        <v>65614.259999999995</v>
      </c>
      <c r="BV121" s="10">
        <v>65614.259999999995</v>
      </c>
      <c r="BW121" s="10">
        <v>65614.259999999995</v>
      </c>
      <c r="BX121" s="10">
        <v>65614.259999999995</v>
      </c>
      <c r="BY121" s="10">
        <v>65614.259999999995</v>
      </c>
      <c r="BZ121" s="10">
        <v>65614.259999999995</v>
      </c>
      <c r="CA121" s="10">
        <v>65614.259999999995</v>
      </c>
    </row>
    <row r="122" spans="1:79" x14ac:dyDescent="0.3">
      <c r="A122" s="9" t="s">
        <v>309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-3681.3</v>
      </c>
      <c r="BP122" s="10">
        <v>-3681.3</v>
      </c>
      <c r="BQ122" s="10">
        <v>-3681.3</v>
      </c>
      <c r="BR122" s="10">
        <v>-3681.3</v>
      </c>
      <c r="BS122" s="10">
        <v>-3681.3</v>
      </c>
      <c r="BT122" s="10">
        <v>-3681.3</v>
      </c>
      <c r="BU122" s="10">
        <v>-3681.3</v>
      </c>
      <c r="BV122" s="10">
        <v>-3681.3</v>
      </c>
      <c r="BW122" s="10">
        <v>-3681.3</v>
      </c>
      <c r="BX122" s="10">
        <v>-3681.3</v>
      </c>
      <c r="BY122" s="10">
        <v>-3681.3</v>
      </c>
      <c r="BZ122" s="10">
        <v>-3681.3</v>
      </c>
      <c r="CA122" s="10">
        <v>-3681.3</v>
      </c>
    </row>
    <row r="123" spans="1:79" x14ac:dyDescent="0.3">
      <c r="A123" s="9" t="s">
        <v>310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-46.76</v>
      </c>
      <c r="BP123" s="10">
        <v>-46.76</v>
      </c>
      <c r="BQ123" s="10">
        <v>-46.76</v>
      </c>
      <c r="BR123" s="10">
        <v>-46.76</v>
      </c>
      <c r="BS123" s="10">
        <v>-46.76</v>
      </c>
      <c r="BT123" s="10">
        <v>-46.76</v>
      </c>
      <c r="BU123" s="10">
        <v>-46.76</v>
      </c>
      <c r="BV123" s="10">
        <v>-46.76</v>
      </c>
      <c r="BW123" s="10">
        <v>-46.76</v>
      </c>
      <c r="BX123" s="10">
        <v>-46.76</v>
      </c>
      <c r="BY123" s="10">
        <v>-46.76</v>
      </c>
      <c r="BZ123" s="10">
        <v>-46.76</v>
      </c>
      <c r="CA123" s="10">
        <v>-46.76</v>
      </c>
    </row>
    <row r="124" spans="1:79" x14ac:dyDescent="0.3">
      <c r="A124" s="9" t="s">
        <v>311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-2214.6999999999998</v>
      </c>
      <c r="BP124" s="10">
        <v>-2214.6999999999998</v>
      </c>
      <c r="BQ124" s="10">
        <v>-2214.6999999999998</v>
      </c>
      <c r="BR124" s="10">
        <v>-2214.6999999999998</v>
      </c>
      <c r="BS124" s="10">
        <v>-2214.6999999999998</v>
      </c>
      <c r="BT124" s="10">
        <v>-2214.6999999999998</v>
      </c>
      <c r="BU124" s="10">
        <v>-2214.6999999999998</v>
      </c>
      <c r="BV124" s="10">
        <v>-2214.6999999999998</v>
      </c>
      <c r="BW124" s="10">
        <v>-2214.6999999999998</v>
      </c>
      <c r="BX124" s="10">
        <v>-2214.6999999999998</v>
      </c>
      <c r="BY124" s="10">
        <v>-2214.6999999999998</v>
      </c>
      <c r="BZ124" s="10">
        <v>-2214.6999999999998</v>
      </c>
      <c r="CA124" s="10">
        <v>-2214.6999999999998</v>
      </c>
    </row>
    <row r="125" spans="1:79" x14ac:dyDescent="0.3">
      <c r="A125" s="9" t="s">
        <v>312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-3903.96</v>
      </c>
      <c r="BP125" s="10">
        <v>-3903.96</v>
      </c>
      <c r="BQ125" s="10">
        <v>-3903.96</v>
      </c>
      <c r="BR125" s="10">
        <v>-3903.96</v>
      </c>
      <c r="BS125" s="10">
        <v>-3903.96</v>
      </c>
      <c r="BT125" s="10">
        <v>-3903.96</v>
      </c>
      <c r="BU125" s="10">
        <v>-3903.96</v>
      </c>
      <c r="BV125" s="10">
        <v>-3903.96</v>
      </c>
      <c r="BW125" s="10">
        <v>-3903.96</v>
      </c>
      <c r="BX125" s="10">
        <v>-3903.96</v>
      </c>
      <c r="BY125" s="10">
        <v>-3903.96</v>
      </c>
      <c r="BZ125" s="10">
        <v>-3903.96</v>
      </c>
      <c r="CA125" s="10">
        <v>-3903.96</v>
      </c>
    </row>
    <row r="126" spans="1:79" x14ac:dyDescent="0.3">
      <c r="A126" s="9" t="s">
        <v>313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-8369.1</v>
      </c>
      <c r="BP126" s="10">
        <v>-8369.1</v>
      </c>
      <c r="BQ126" s="10">
        <v>-8369.1</v>
      </c>
      <c r="BR126" s="10">
        <v>-8369.1</v>
      </c>
      <c r="BS126" s="10">
        <v>-8369.1</v>
      </c>
      <c r="BT126" s="10">
        <v>-8369.1</v>
      </c>
      <c r="BU126" s="10">
        <v>-8369.1</v>
      </c>
      <c r="BV126" s="10">
        <v>-8369.1</v>
      </c>
      <c r="BW126" s="10">
        <v>-8369.1</v>
      </c>
      <c r="BX126" s="10">
        <v>-8369.1</v>
      </c>
      <c r="BY126" s="10">
        <v>-8369.1</v>
      </c>
      <c r="BZ126" s="10">
        <v>-8369.1</v>
      </c>
      <c r="CA126" s="10">
        <v>-8369.1</v>
      </c>
    </row>
    <row r="127" spans="1:79" x14ac:dyDescent="0.3">
      <c r="A127" s="9" t="s">
        <v>314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-8875.3700000000008</v>
      </c>
      <c r="BP127" s="10">
        <v>-8875.3700000000008</v>
      </c>
      <c r="BQ127" s="10">
        <v>-8875.3700000000008</v>
      </c>
      <c r="BR127" s="10">
        <v>-8875.3700000000008</v>
      </c>
      <c r="BS127" s="10">
        <v>-8875.3700000000008</v>
      </c>
      <c r="BT127" s="10">
        <v>-8875.3700000000008</v>
      </c>
      <c r="BU127" s="10">
        <v>-8875.3700000000008</v>
      </c>
      <c r="BV127" s="10">
        <v>-8875.3700000000008</v>
      </c>
      <c r="BW127" s="10">
        <v>-8875.3700000000008</v>
      </c>
      <c r="BX127" s="10">
        <v>-8875.3700000000008</v>
      </c>
      <c r="BY127" s="10">
        <v>-8875.3700000000008</v>
      </c>
      <c r="BZ127" s="10">
        <v>-8875.3700000000008</v>
      </c>
      <c r="CA127" s="10">
        <v>-8875.3700000000008</v>
      </c>
    </row>
    <row r="128" spans="1:79" x14ac:dyDescent="0.3">
      <c r="A128" s="9" t="s">
        <v>315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-3502.48</v>
      </c>
      <c r="BP128" s="10">
        <v>-3502.48</v>
      </c>
      <c r="BQ128" s="10">
        <v>-3502.48</v>
      </c>
      <c r="BR128" s="10">
        <v>-3502.48</v>
      </c>
      <c r="BS128" s="10">
        <v>-3502.48</v>
      </c>
      <c r="BT128" s="10">
        <v>-3502.48</v>
      </c>
      <c r="BU128" s="10">
        <v>-3502.48</v>
      </c>
      <c r="BV128" s="10">
        <v>-3502.48</v>
      </c>
      <c r="BW128" s="10">
        <v>-3502.48</v>
      </c>
      <c r="BX128" s="10">
        <v>-3502.48</v>
      </c>
      <c r="BY128" s="10">
        <v>-3502.48</v>
      </c>
      <c r="BZ128" s="10">
        <v>-3502.48</v>
      </c>
      <c r="CA128" s="10">
        <v>-3502.48</v>
      </c>
    </row>
    <row r="129" spans="1:79" x14ac:dyDescent="0.3">
      <c r="A129" s="9" t="s">
        <v>316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-3709.37</v>
      </c>
      <c r="BP129" s="10">
        <v>-3709.37</v>
      </c>
      <c r="BQ129" s="10">
        <v>-3709.37</v>
      </c>
      <c r="BR129" s="10">
        <v>-3709.37</v>
      </c>
      <c r="BS129" s="10">
        <v>-3709.37</v>
      </c>
      <c r="BT129" s="10">
        <v>-3709.37</v>
      </c>
      <c r="BU129" s="10">
        <v>-3709.37</v>
      </c>
      <c r="BV129" s="10">
        <v>-3709.37</v>
      </c>
      <c r="BW129" s="10">
        <v>-3709.37</v>
      </c>
      <c r="BX129" s="10">
        <v>-3709.37</v>
      </c>
      <c r="BY129" s="10">
        <v>-3709.37</v>
      </c>
      <c r="BZ129" s="10">
        <v>-3709.37</v>
      </c>
      <c r="CA129" s="10">
        <v>-3709.37</v>
      </c>
    </row>
    <row r="130" spans="1:79" x14ac:dyDescent="0.3">
      <c r="A130" s="9" t="s">
        <v>317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-9980.0499999999993</v>
      </c>
      <c r="BP130" s="10">
        <v>-9980.0499999999993</v>
      </c>
      <c r="BQ130" s="10">
        <v>-9980.0499999999993</v>
      </c>
      <c r="BR130" s="10">
        <v>-9980.0499999999993</v>
      </c>
      <c r="BS130" s="10">
        <v>-9980.0499999999993</v>
      </c>
      <c r="BT130" s="10">
        <v>-9980.0499999999993</v>
      </c>
      <c r="BU130" s="10">
        <v>-9980.0499999999993</v>
      </c>
      <c r="BV130" s="10">
        <v>-9980.0499999999993</v>
      </c>
      <c r="BW130" s="10">
        <v>-9980.0499999999993</v>
      </c>
      <c r="BX130" s="10">
        <v>-9980.0499999999993</v>
      </c>
      <c r="BY130" s="10">
        <v>-9980.0499999999993</v>
      </c>
      <c r="BZ130" s="10">
        <v>-9980.0499999999993</v>
      </c>
      <c r="CA130" s="10">
        <v>-9980.0499999999993</v>
      </c>
    </row>
    <row r="131" spans="1:79" x14ac:dyDescent="0.3">
      <c r="A131" s="9" t="s">
        <v>318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-3831.43</v>
      </c>
      <c r="BP131" s="10">
        <v>-3831.43</v>
      </c>
      <c r="BQ131" s="10">
        <v>-3831.43</v>
      </c>
      <c r="BR131" s="10">
        <v>-3831.43</v>
      </c>
      <c r="BS131" s="10">
        <v>-3831.43</v>
      </c>
      <c r="BT131" s="10">
        <v>-3831.43</v>
      </c>
      <c r="BU131" s="10">
        <v>-3831.43</v>
      </c>
      <c r="BV131" s="10">
        <v>-3831.43</v>
      </c>
      <c r="BW131" s="10">
        <v>-3831.43</v>
      </c>
      <c r="BX131" s="10">
        <v>-3831.43</v>
      </c>
      <c r="BY131" s="10">
        <v>-3831.43</v>
      </c>
      <c r="BZ131" s="10">
        <v>-3831.43</v>
      </c>
      <c r="CA131" s="10">
        <v>-3831.43</v>
      </c>
    </row>
    <row r="132" spans="1:79" x14ac:dyDescent="0.3">
      <c r="A132" s="11" t="s">
        <v>319</v>
      </c>
      <c r="B132" s="6">
        <f t="shared" ref="B132:AG132" si="34">SUM(B113:B131)</f>
        <v>0</v>
      </c>
      <c r="C132" s="6">
        <f t="shared" si="34"/>
        <v>-2000</v>
      </c>
      <c r="D132" s="6">
        <f t="shared" si="34"/>
        <v>33359.39</v>
      </c>
      <c r="E132" s="6">
        <f t="shared" si="34"/>
        <v>32838.97</v>
      </c>
      <c r="F132" s="6">
        <f t="shared" si="34"/>
        <v>32318.55</v>
      </c>
      <c r="G132" s="6">
        <f t="shared" si="34"/>
        <v>31798.13</v>
      </c>
      <c r="H132" s="6">
        <f t="shared" si="34"/>
        <v>31017.5</v>
      </c>
      <c r="I132" s="6">
        <f t="shared" si="34"/>
        <v>30497.08</v>
      </c>
      <c r="J132" s="6">
        <f t="shared" si="34"/>
        <v>29976.66</v>
      </c>
      <c r="K132" s="6">
        <f t="shared" si="34"/>
        <v>29456.240000000002</v>
      </c>
      <c r="L132" s="6">
        <f t="shared" si="34"/>
        <v>28935.82</v>
      </c>
      <c r="M132" s="6">
        <f t="shared" si="34"/>
        <v>28415.4</v>
      </c>
      <c r="N132" s="6">
        <f t="shared" si="34"/>
        <v>27634.77</v>
      </c>
      <c r="O132" s="6">
        <f t="shared" si="34"/>
        <v>27114.35</v>
      </c>
      <c r="P132" s="6">
        <f t="shared" si="34"/>
        <v>26593.93</v>
      </c>
      <c r="Q132" s="6">
        <f t="shared" si="34"/>
        <v>26593.93</v>
      </c>
      <c r="R132" s="6">
        <f t="shared" si="34"/>
        <v>26593.93</v>
      </c>
      <c r="S132" s="6">
        <f t="shared" si="34"/>
        <v>26593.93</v>
      </c>
      <c r="T132" s="6">
        <f t="shared" si="34"/>
        <v>26333.32</v>
      </c>
      <c r="U132" s="6">
        <f t="shared" si="34"/>
        <v>25812.1</v>
      </c>
      <c r="V132" s="6">
        <f t="shared" si="34"/>
        <v>25290.880000000001</v>
      </c>
      <c r="W132" s="6">
        <f t="shared" si="34"/>
        <v>24769.66</v>
      </c>
      <c r="X132" s="6">
        <f t="shared" si="34"/>
        <v>24248.44</v>
      </c>
      <c r="Y132" s="6">
        <f t="shared" si="34"/>
        <v>23466.61</v>
      </c>
      <c r="Z132" s="6">
        <f t="shared" si="34"/>
        <v>22945.39</v>
      </c>
      <c r="AA132" s="6">
        <f t="shared" si="34"/>
        <v>22424.17</v>
      </c>
      <c r="AB132" s="6">
        <f t="shared" si="34"/>
        <v>21902.95</v>
      </c>
      <c r="AC132" s="6">
        <f t="shared" si="34"/>
        <v>58249.399999999994</v>
      </c>
      <c r="AD132" s="6">
        <f t="shared" si="34"/>
        <v>56960.099999999991</v>
      </c>
      <c r="AE132" s="6">
        <f t="shared" si="34"/>
        <v>55410.19</v>
      </c>
      <c r="AF132" s="6">
        <f t="shared" si="34"/>
        <v>54120.89</v>
      </c>
      <c r="AG132" s="6">
        <f t="shared" si="34"/>
        <v>52831.59</v>
      </c>
      <c r="AH132" s="6">
        <f t="shared" ref="AH132:CA132" si="35">SUM(AH113:AH131)</f>
        <v>51542.289999999994</v>
      </c>
      <c r="AI132" s="6">
        <f t="shared" si="35"/>
        <v>50252.99</v>
      </c>
      <c r="AJ132" s="6">
        <f t="shared" si="35"/>
        <v>48963.69</v>
      </c>
      <c r="AK132" s="6">
        <f t="shared" si="35"/>
        <v>47413.78</v>
      </c>
      <c r="AL132" s="6">
        <f t="shared" si="35"/>
        <v>46124.480000000003</v>
      </c>
      <c r="AM132" s="6">
        <f t="shared" si="35"/>
        <v>44835.18</v>
      </c>
      <c r="AN132" s="6">
        <f t="shared" si="35"/>
        <v>43545.880000000005</v>
      </c>
      <c r="AO132" s="6">
        <f t="shared" si="35"/>
        <v>42308.02</v>
      </c>
      <c r="AP132" s="6">
        <f t="shared" si="35"/>
        <v>84389.6</v>
      </c>
      <c r="AQ132" s="6">
        <f t="shared" si="35"/>
        <v>82210.570000000007</v>
      </c>
      <c r="AR132" s="6">
        <f t="shared" si="35"/>
        <v>79292.149999999994</v>
      </c>
      <c r="AS132" s="6">
        <f t="shared" si="35"/>
        <v>77216.45</v>
      </c>
      <c r="AT132" s="6">
        <f t="shared" si="35"/>
        <v>108819.31</v>
      </c>
      <c r="AU132" s="6">
        <f t="shared" si="35"/>
        <v>106386.17</v>
      </c>
      <c r="AV132" s="6">
        <f t="shared" si="35"/>
        <v>103849.70000000001</v>
      </c>
      <c r="AW132" s="6">
        <f t="shared" si="35"/>
        <v>101416.56</v>
      </c>
      <c r="AX132" s="6">
        <f t="shared" si="35"/>
        <v>99140.700000000012</v>
      </c>
      <c r="AY132" s="6">
        <f t="shared" si="35"/>
        <v>128311.36</v>
      </c>
      <c r="AZ132" s="6">
        <f t="shared" si="35"/>
        <v>125462.73</v>
      </c>
      <c r="BA132" s="6">
        <f t="shared" si="35"/>
        <v>122790.23999999999</v>
      </c>
      <c r="BB132" s="6">
        <f t="shared" si="35"/>
        <v>119699.85999999999</v>
      </c>
      <c r="BC132" s="6">
        <f t="shared" si="35"/>
        <v>117027.37</v>
      </c>
      <c r="BD132" s="6">
        <f t="shared" si="35"/>
        <v>147705.51999999999</v>
      </c>
      <c r="BE132" s="6">
        <f t="shared" si="35"/>
        <v>178029.71000000002</v>
      </c>
      <c r="BF132" s="6">
        <f t="shared" si="35"/>
        <v>313696.34000000003</v>
      </c>
      <c r="BG132" s="6">
        <f t="shared" si="35"/>
        <v>370189.94999999995</v>
      </c>
      <c r="BH132" s="6">
        <f t="shared" si="35"/>
        <v>364818.25</v>
      </c>
      <c r="BI132" s="6">
        <f t="shared" si="35"/>
        <v>359706.94</v>
      </c>
      <c r="BJ132" s="6">
        <f t="shared" si="35"/>
        <v>354565.62</v>
      </c>
      <c r="BK132" s="6">
        <f t="shared" si="35"/>
        <v>349428.82999999996</v>
      </c>
      <c r="BL132" s="6">
        <f t="shared" si="35"/>
        <v>344291.74</v>
      </c>
      <c r="BM132" s="6">
        <f t="shared" si="35"/>
        <v>339303.16000000003</v>
      </c>
      <c r="BN132" s="6">
        <f t="shared" si="35"/>
        <v>333879.64</v>
      </c>
      <c r="BO132" s="6">
        <f t="shared" si="35"/>
        <v>310671.36000000004</v>
      </c>
      <c r="BP132" s="6">
        <f t="shared" si="35"/>
        <v>305841.61000000004</v>
      </c>
      <c r="BQ132" s="6">
        <f t="shared" si="35"/>
        <v>301578.91000000003</v>
      </c>
      <c r="BR132" s="6">
        <f t="shared" si="35"/>
        <v>296927.88000000006</v>
      </c>
      <c r="BS132" s="6">
        <f t="shared" si="35"/>
        <v>292268.55000000005</v>
      </c>
      <c r="BT132" s="6">
        <f t="shared" si="35"/>
        <v>287774.80000000005</v>
      </c>
      <c r="BU132" s="6">
        <f t="shared" si="35"/>
        <v>283123.77000000008</v>
      </c>
      <c r="BV132" s="6">
        <f t="shared" si="35"/>
        <v>278285.72000000003</v>
      </c>
      <c r="BW132" s="6">
        <f t="shared" si="35"/>
        <v>273791.97000000003</v>
      </c>
      <c r="BX132" s="6">
        <f t="shared" si="35"/>
        <v>268222.84000000003</v>
      </c>
      <c r="BY132" s="6">
        <f t="shared" si="35"/>
        <v>264497.17000000004</v>
      </c>
      <c r="BZ132" s="6">
        <f t="shared" si="35"/>
        <v>260605.92000000004</v>
      </c>
      <c r="CA132" s="6">
        <f t="shared" si="35"/>
        <v>256722.97000000003</v>
      </c>
    </row>
    <row r="133" spans="1:79" x14ac:dyDescent="0.3">
      <c r="A133" s="12" t="s">
        <v>320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-50000</v>
      </c>
      <c r="AI133" s="10">
        <v>-50000</v>
      </c>
      <c r="AJ133" s="10">
        <v>-50000</v>
      </c>
      <c r="AK133" s="10">
        <v>-50000</v>
      </c>
      <c r="AL133" s="10">
        <v>-50000</v>
      </c>
      <c r="AM133" s="10">
        <v>-50000</v>
      </c>
      <c r="AN133" s="10">
        <v>-50000</v>
      </c>
      <c r="AO133" s="10">
        <v>-50085</v>
      </c>
      <c r="AP133" s="10">
        <v>-50228.76</v>
      </c>
      <c r="AQ133" s="10">
        <v>-50325.26</v>
      </c>
      <c r="AR133" s="10">
        <v>-50619.56</v>
      </c>
      <c r="AS133" s="10">
        <v>-50670.36</v>
      </c>
      <c r="AT133" s="10">
        <v>-50951.360000000001</v>
      </c>
      <c r="AU133" s="10">
        <v>-51259.360000000001</v>
      </c>
      <c r="AV133" s="10">
        <v>-52017.86</v>
      </c>
      <c r="AW133" s="10">
        <v>-102612.17</v>
      </c>
      <c r="AX133" s="10">
        <v>-153367.13</v>
      </c>
      <c r="AY133" s="10">
        <v>-153577.13</v>
      </c>
      <c r="AZ133" s="10">
        <v>-153812.13</v>
      </c>
      <c r="BA133" s="10">
        <v>-154042.13</v>
      </c>
      <c r="BB133" s="10">
        <v>-154367.13</v>
      </c>
      <c r="BC133" s="10">
        <v>-161662.95000000001</v>
      </c>
      <c r="BD133" s="10">
        <v>-162763.66</v>
      </c>
      <c r="BE133" s="10">
        <v>-164654.75</v>
      </c>
      <c r="BF133" s="10">
        <v>-164950.46</v>
      </c>
      <c r="BG133" s="10">
        <v>-165256.17000000001</v>
      </c>
      <c r="BH133" s="10">
        <v>-165666.88</v>
      </c>
      <c r="BI133" s="10">
        <v>-167472.59</v>
      </c>
      <c r="BJ133" s="10">
        <v>-167813.3</v>
      </c>
      <c r="BK133" s="10">
        <v>-158939.01</v>
      </c>
      <c r="BL133" s="10">
        <v>-159624.72</v>
      </c>
      <c r="BM133" s="10">
        <v>-159910.43</v>
      </c>
      <c r="BN133" s="10">
        <v>-160251.14000000001</v>
      </c>
      <c r="BO133" s="10">
        <v>-176748.13</v>
      </c>
      <c r="BP133" s="10">
        <v>-85308.63</v>
      </c>
      <c r="BQ133" s="10">
        <v>-85488.63</v>
      </c>
      <c r="BR133" s="10">
        <v>-88113.29</v>
      </c>
      <c r="BS133" s="10">
        <v>-88338.29</v>
      </c>
      <c r="BT133" s="10">
        <v>-90007.24</v>
      </c>
      <c r="BU133" s="10">
        <v>-23778.89</v>
      </c>
      <c r="BV133" s="10">
        <v>-30144.89</v>
      </c>
      <c r="BW133" s="10">
        <v>-30334.89</v>
      </c>
      <c r="BX133" s="10">
        <v>-33679.79</v>
      </c>
      <c r="BY133" s="10">
        <v>-34714.79</v>
      </c>
      <c r="BZ133" s="10">
        <v>-35894.79</v>
      </c>
      <c r="CA133" s="10">
        <v>-38098.639999999999</v>
      </c>
    </row>
    <row r="134" spans="1:79" x14ac:dyDescent="0.3">
      <c r="A134" s="12" t="s">
        <v>321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73557.75</v>
      </c>
      <c r="BS134" s="10">
        <v>71634.75</v>
      </c>
      <c r="BT134" s="10">
        <v>69231</v>
      </c>
      <c r="BU134" s="10">
        <v>67308</v>
      </c>
      <c r="BV134" s="10">
        <v>64904.25</v>
      </c>
      <c r="BW134" s="10">
        <v>62981.25</v>
      </c>
      <c r="BX134" s="10">
        <v>61058.25</v>
      </c>
      <c r="BY134" s="10">
        <v>59135.25</v>
      </c>
      <c r="BZ134" s="10">
        <v>53226.5</v>
      </c>
      <c r="CA134" s="10">
        <v>51303.5</v>
      </c>
    </row>
    <row r="135" spans="1:79" x14ac:dyDescent="0.3">
      <c r="A135" s="5" t="s">
        <v>322</v>
      </c>
      <c r="B135" s="6">
        <f t="shared" ref="B135:BM135" si="36">SUM(B132,B111,B133:B134)</f>
        <v>0</v>
      </c>
      <c r="C135" s="6">
        <f t="shared" si="36"/>
        <v>-2000</v>
      </c>
      <c r="D135" s="6">
        <f t="shared" si="36"/>
        <v>33359.39</v>
      </c>
      <c r="E135" s="6">
        <f t="shared" si="36"/>
        <v>32838.97</v>
      </c>
      <c r="F135" s="6">
        <f t="shared" si="36"/>
        <v>32318.55</v>
      </c>
      <c r="G135" s="6">
        <f t="shared" si="36"/>
        <v>31798.13</v>
      </c>
      <c r="H135" s="6">
        <f t="shared" si="36"/>
        <v>31017.5</v>
      </c>
      <c r="I135" s="6">
        <f t="shared" si="36"/>
        <v>30497.08</v>
      </c>
      <c r="J135" s="6">
        <f t="shared" si="36"/>
        <v>29976.66</v>
      </c>
      <c r="K135" s="6">
        <f t="shared" si="36"/>
        <v>29456.240000000002</v>
      </c>
      <c r="L135" s="6">
        <f t="shared" si="36"/>
        <v>28935.82</v>
      </c>
      <c r="M135" s="6">
        <f t="shared" si="36"/>
        <v>28415.4</v>
      </c>
      <c r="N135" s="6">
        <f t="shared" si="36"/>
        <v>27634.77</v>
      </c>
      <c r="O135" s="6">
        <f t="shared" si="36"/>
        <v>27114.35</v>
      </c>
      <c r="P135" s="6">
        <f t="shared" si="36"/>
        <v>26593.93</v>
      </c>
      <c r="Q135" s="6">
        <f t="shared" si="36"/>
        <v>26593.93</v>
      </c>
      <c r="R135" s="6">
        <f t="shared" si="36"/>
        <v>26593.93</v>
      </c>
      <c r="S135" s="6">
        <f t="shared" si="36"/>
        <v>26593.93</v>
      </c>
      <c r="T135" s="6">
        <f t="shared" si="36"/>
        <v>26333.32</v>
      </c>
      <c r="U135" s="6">
        <f t="shared" si="36"/>
        <v>25812.1</v>
      </c>
      <c r="V135" s="6">
        <f t="shared" si="36"/>
        <v>25290.880000000001</v>
      </c>
      <c r="W135" s="6">
        <f t="shared" si="36"/>
        <v>24769.66</v>
      </c>
      <c r="X135" s="6">
        <f t="shared" si="36"/>
        <v>24248.44</v>
      </c>
      <c r="Y135" s="6">
        <f t="shared" si="36"/>
        <v>23466.61</v>
      </c>
      <c r="Z135" s="6">
        <f t="shared" si="36"/>
        <v>22945.39</v>
      </c>
      <c r="AA135" s="6">
        <f t="shared" si="36"/>
        <v>22424.17</v>
      </c>
      <c r="AB135" s="6">
        <f t="shared" si="36"/>
        <v>21902.95</v>
      </c>
      <c r="AC135" s="6">
        <f t="shared" si="36"/>
        <v>58249.399999999994</v>
      </c>
      <c r="AD135" s="6">
        <f t="shared" si="36"/>
        <v>56960.099999999991</v>
      </c>
      <c r="AE135" s="6">
        <f t="shared" si="36"/>
        <v>55410.19</v>
      </c>
      <c r="AF135" s="6">
        <f t="shared" si="36"/>
        <v>54120.89</v>
      </c>
      <c r="AG135" s="6">
        <f t="shared" si="36"/>
        <v>52831.59</v>
      </c>
      <c r="AH135" s="6">
        <f t="shared" si="36"/>
        <v>1542.2899999999936</v>
      </c>
      <c r="AI135" s="6">
        <f t="shared" si="36"/>
        <v>252.98999999999796</v>
      </c>
      <c r="AJ135" s="6">
        <f t="shared" si="36"/>
        <v>-1036.3099999999977</v>
      </c>
      <c r="AK135" s="6">
        <f t="shared" si="36"/>
        <v>-2586.2200000000012</v>
      </c>
      <c r="AL135" s="6">
        <f t="shared" si="36"/>
        <v>-3875.5199999999968</v>
      </c>
      <c r="AM135" s="6">
        <f t="shared" si="36"/>
        <v>-5164.82</v>
      </c>
      <c r="AN135" s="6">
        <f t="shared" si="36"/>
        <v>-6454.1199999999953</v>
      </c>
      <c r="AO135" s="6">
        <f t="shared" si="36"/>
        <v>-7976.9400000000023</v>
      </c>
      <c r="AP135" s="6">
        <f t="shared" si="36"/>
        <v>33960.879999999997</v>
      </c>
      <c r="AQ135" s="6">
        <f t="shared" si="36"/>
        <v>31685.35</v>
      </c>
      <c r="AR135" s="6">
        <f t="shared" si="36"/>
        <v>28472.62999999999</v>
      </c>
      <c r="AS135" s="6">
        <f t="shared" si="36"/>
        <v>26346.12999999999</v>
      </c>
      <c r="AT135" s="6">
        <f t="shared" si="36"/>
        <v>57667.989999999991</v>
      </c>
      <c r="AU135" s="6">
        <f t="shared" si="36"/>
        <v>54926.849999999991</v>
      </c>
      <c r="AV135" s="6">
        <f t="shared" si="36"/>
        <v>51631.880000000005</v>
      </c>
      <c r="AW135" s="6">
        <f t="shared" si="36"/>
        <v>-1395.570000000007</v>
      </c>
      <c r="AX135" s="6">
        <f t="shared" si="36"/>
        <v>-54426.39</v>
      </c>
      <c r="AY135" s="6">
        <f t="shared" si="36"/>
        <v>-25465.73000000001</v>
      </c>
      <c r="AZ135" s="6">
        <f t="shared" si="36"/>
        <v>-28549.360000000015</v>
      </c>
      <c r="BA135" s="6">
        <f t="shared" si="36"/>
        <v>-31451.85000000002</v>
      </c>
      <c r="BB135" s="6">
        <f t="shared" si="36"/>
        <v>-34867.230000000025</v>
      </c>
      <c r="BC135" s="6">
        <f t="shared" si="36"/>
        <v>-44835.540000000023</v>
      </c>
      <c r="BD135" s="6">
        <f t="shared" si="36"/>
        <v>-15258.100000000006</v>
      </c>
      <c r="BE135" s="6">
        <f t="shared" si="36"/>
        <v>12878.900000000023</v>
      </c>
      <c r="BF135" s="6">
        <f t="shared" si="36"/>
        <v>147749.82000000004</v>
      </c>
      <c r="BG135" s="6">
        <f t="shared" si="36"/>
        <v>203937.71999999994</v>
      </c>
      <c r="BH135" s="6">
        <f t="shared" si="36"/>
        <v>197676.65999999997</v>
      </c>
      <c r="BI135" s="6">
        <f t="shared" si="36"/>
        <v>190759.63999999998</v>
      </c>
      <c r="BJ135" s="6">
        <f t="shared" si="36"/>
        <v>185277.61</v>
      </c>
      <c r="BK135" s="6">
        <f t="shared" si="36"/>
        <v>189015.10999999993</v>
      </c>
      <c r="BL135" s="6">
        <f t="shared" si="36"/>
        <v>183192.30999999997</v>
      </c>
      <c r="BM135" s="6">
        <f t="shared" si="36"/>
        <v>177918.02000000002</v>
      </c>
      <c r="BN135" s="6">
        <f t="shared" ref="BN135:CA135" si="37">SUM(BN132,BN111,BN133:BN134)</f>
        <v>182153.78999999998</v>
      </c>
      <c r="BO135" s="6">
        <f t="shared" si="37"/>
        <v>133923.23000000004</v>
      </c>
      <c r="BP135" s="6">
        <f t="shared" si="37"/>
        <v>220532.98000000004</v>
      </c>
      <c r="BQ135" s="6">
        <f t="shared" si="37"/>
        <v>216090.28000000003</v>
      </c>
      <c r="BR135" s="6">
        <f t="shared" si="37"/>
        <v>282372.34000000008</v>
      </c>
      <c r="BS135" s="6">
        <f t="shared" si="37"/>
        <v>275565.01000000007</v>
      </c>
      <c r="BT135" s="6">
        <f t="shared" si="37"/>
        <v>266998.56000000006</v>
      </c>
      <c r="BU135" s="6">
        <f t="shared" si="37"/>
        <v>326652.88000000006</v>
      </c>
      <c r="BV135" s="6">
        <f t="shared" si="37"/>
        <v>313045.08</v>
      </c>
      <c r="BW135" s="6">
        <f t="shared" si="37"/>
        <v>306438.33</v>
      </c>
      <c r="BX135" s="6">
        <f t="shared" si="37"/>
        <v>295601.30000000005</v>
      </c>
      <c r="BY135" s="6">
        <f t="shared" si="37"/>
        <v>288917.63</v>
      </c>
      <c r="BZ135" s="6">
        <f t="shared" si="37"/>
        <v>277937.63</v>
      </c>
      <c r="CA135" s="6">
        <f t="shared" si="37"/>
        <v>269927.83</v>
      </c>
    </row>
    <row r="136" spans="1:79" x14ac:dyDescent="0.3">
      <c r="A136" s="5" t="s">
        <v>323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</row>
    <row r="137" spans="1:79" x14ac:dyDescent="0.3">
      <c r="A137" s="12" t="s">
        <v>324</v>
      </c>
      <c r="B137" s="10">
        <v>13002</v>
      </c>
      <c r="C137" s="10">
        <v>0</v>
      </c>
      <c r="D137" s="10">
        <v>15384</v>
      </c>
      <c r="E137" s="10">
        <v>15384</v>
      </c>
      <c r="F137" s="10">
        <v>15384</v>
      </c>
      <c r="G137" s="10">
        <v>18754</v>
      </c>
      <c r="H137" s="10">
        <v>18754</v>
      </c>
      <c r="I137" s="10">
        <v>18754</v>
      </c>
      <c r="J137" s="10">
        <v>22496</v>
      </c>
      <c r="K137" s="10">
        <v>22496</v>
      </c>
      <c r="L137" s="10">
        <v>0</v>
      </c>
      <c r="M137" s="10">
        <v>38950</v>
      </c>
      <c r="N137" s="10">
        <v>38950</v>
      </c>
      <c r="O137" s="10">
        <v>38950</v>
      </c>
      <c r="P137" s="10">
        <v>85790</v>
      </c>
      <c r="Q137" s="10">
        <v>85790</v>
      </c>
      <c r="R137" s="10">
        <v>64930</v>
      </c>
      <c r="S137" s="10">
        <v>73640</v>
      </c>
      <c r="T137" s="10">
        <v>73640</v>
      </c>
      <c r="U137" s="10">
        <v>0</v>
      </c>
      <c r="V137" s="10">
        <v>32368</v>
      </c>
      <c r="W137" s="10">
        <v>32368</v>
      </c>
      <c r="X137" s="10">
        <v>0</v>
      </c>
      <c r="Y137" s="10">
        <v>34217</v>
      </c>
      <c r="Z137" s="10">
        <v>34217</v>
      </c>
      <c r="AA137" s="10">
        <v>0</v>
      </c>
      <c r="AB137" s="10">
        <v>32408</v>
      </c>
      <c r="AC137" s="10">
        <v>32408</v>
      </c>
      <c r="AD137" s="10">
        <v>32408</v>
      </c>
      <c r="AE137" s="10">
        <v>76303</v>
      </c>
      <c r="AF137" s="10">
        <v>43895</v>
      </c>
      <c r="AG137" s="10">
        <v>0</v>
      </c>
      <c r="AH137" s="10">
        <v>41324</v>
      </c>
      <c r="AI137" s="10">
        <v>41324</v>
      </c>
      <c r="AJ137" s="10">
        <v>41324</v>
      </c>
      <c r="AK137" s="10">
        <v>41324</v>
      </c>
      <c r="AL137" s="10">
        <v>41324</v>
      </c>
      <c r="AM137" s="10">
        <v>-676</v>
      </c>
      <c r="AN137" s="10">
        <v>-676</v>
      </c>
      <c r="AO137" s="10">
        <v>-676</v>
      </c>
      <c r="AP137" s="10">
        <v>-676</v>
      </c>
      <c r="AQ137" s="10">
        <v>-676</v>
      </c>
      <c r="AR137" s="10">
        <v>-676</v>
      </c>
      <c r="AS137" s="10">
        <v>-676</v>
      </c>
      <c r="AT137" s="10">
        <v>-676</v>
      </c>
      <c r="AU137" s="10">
        <v>-676</v>
      </c>
      <c r="AV137" s="10">
        <v>-676</v>
      </c>
      <c r="AW137" s="10">
        <v>-676</v>
      </c>
      <c r="AX137" s="10">
        <v>-676</v>
      </c>
      <c r="AY137" s="10">
        <v>-676</v>
      </c>
      <c r="AZ137" s="10">
        <v>-676</v>
      </c>
      <c r="BA137" s="10">
        <v>-676</v>
      </c>
      <c r="BB137" s="10">
        <v>-676</v>
      </c>
      <c r="BC137" s="10">
        <v>32892</v>
      </c>
      <c r="BD137" s="10">
        <v>32892</v>
      </c>
      <c r="BE137" s="10">
        <v>32892</v>
      </c>
      <c r="BF137" s="10">
        <v>32892</v>
      </c>
      <c r="BG137" s="10">
        <v>32892</v>
      </c>
      <c r="BH137" s="10">
        <v>32892</v>
      </c>
      <c r="BI137" s="10">
        <v>78503</v>
      </c>
      <c r="BJ137" s="10">
        <v>78503</v>
      </c>
      <c r="BK137" s="10">
        <v>78503</v>
      </c>
      <c r="BL137" s="10">
        <v>78503</v>
      </c>
      <c r="BM137" s="10">
        <v>78503</v>
      </c>
      <c r="BN137" s="10">
        <v>78503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0">
        <v>0</v>
      </c>
      <c r="CA137" s="10">
        <v>0</v>
      </c>
    </row>
    <row r="138" spans="1:79" x14ac:dyDescent="0.3">
      <c r="A138" s="5" t="s">
        <v>325</v>
      </c>
      <c r="B138" s="6">
        <f t="shared" ref="B138:AG138" si="38">B135+SUM(B137)</f>
        <v>13002</v>
      </c>
      <c r="C138" s="6">
        <f t="shared" si="38"/>
        <v>-2000</v>
      </c>
      <c r="D138" s="6">
        <f t="shared" si="38"/>
        <v>48743.39</v>
      </c>
      <c r="E138" s="6">
        <f t="shared" si="38"/>
        <v>48222.97</v>
      </c>
      <c r="F138" s="6">
        <f t="shared" si="38"/>
        <v>47702.55</v>
      </c>
      <c r="G138" s="6">
        <f t="shared" si="38"/>
        <v>50552.130000000005</v>
      </c>
      <c r="H138" s="6">
        <f t="shared" si="38"/>
        <v>49771.5</v>
      </c>
      <c r="I138" s="6">
        <f t="shared" si="38"/>
        <v>49251.08</v>
      </c>
      <c r="J138" s="6">
        <f t="shared" si="38"/>
        <v>52472.66</v>
      </c>
      <c r="K138" s="6">
        <f t="shared" si="38"/>
        <v>51952.240000000005</v>
      </c>
      <c r="L138" s="6">
        <f t="shared" si="38"/>
        <v>28935.82</v>
      </c>
      <c r="M138" s="6">
        <f t="shared" si="38"/>
        <v>67365.399999999994</v>
      </c>
      <c r="N138" s="6">
        <f t="shared" si="38"/>
        <v>66584.77</v>
      </c>
      <c r="O138" s="6">
        <f t="shared" si="38"/>
        <v>66064.350000000006</v>
      </c>
      <c r="P138" s="6">
        <f t="shared" si="38"/>
        <v>112383.93</v>
      </c>
      <c r="Q138" s="6">
        <f t="shared" si="38"/>
        <v>112383.93</v>
      </c>
      <c r="R138" s="6">
        <f t="shared" si="38"/>
        <v>91523.93</v>
      </c>
      <c r="S138" s="6">
        <f t="shared" si="38"/>
        <v>100233.93</v>
      </c>
      <c r="T138" s="6">
        <f t="shared" si="38"/>
        <v>99973.32</v>
      </c>
      <c r="U138" s="6">
        <f t="shared" si="38"/>
        <v>25812.1</v>
      </c>
      <c r="V138" s="6">
        <f t="shared" si="38"/>
        <v>57658.880000000005</v>
      </c>
      <c r="W138" s="6">
        <f t="shared" si="38"/>
        <v>57137.66</v>
      </c>
      <c r="X138" s="6">
        <f t="shared" si="38"/>
        <v>24248.44</v>
      </c>
      <c r="Y138" s="6">
        <f t="shared" si="38"/>
        <v>57683.61</v>
      </c>
      <c r="Z138" s="6">
        <f t="shared" si="38"/>
        <v>57162.39</v>
      </c>
      <c r="AA138" s="6">
        <f t="shared" si="38"/>
        <v>22424.17</v>
      </c>
      <c r="AB138" s="6">
        <f t="shared" si="38"/>
        <v>54310.95</v>
      </c>
      <c r="AC138" s="6">
        <f t="shared" si="38"/>
        <v>90657.4</v>
      </c>
      <c r="AD138" s="6">
        <f t="shared" si="38"/>
        <v>89368.099999999991</v>
      </c>
      <c r="AE138" s="6">
        <f t="shared" si="38"/>
        <v>131713.19</v>
      </c>
      <c r="AF138" s="6">
        <f t="shared" si="38"/>
        <v>98015.89</v>
      </c>
      <c r="AG138" s="6">
        <f t="shared" si="38"/>
        <v>52831.59</v>
      </c>
      <c r="AH138" s="6">
        <f t="shared" ref="AH138:BM138" si="39">AH135+SUM(AH137)</f>
        <v>42866.289999999994</v>
      </c>
      <c r="AI138" s="6">
        <f t="shared" si="39"/>
        <v>41576.99</v>
      </c>
      <c r="AJ138" s="6">
        <f t="shared" si="39"/>
        <v>40287.69</v>
      </c>
      <c r="AK138" s="6">
        <f t="shared" si="39"/>
        <v>38737.78</v>
      </c>
      <c r="AL138" s="6">
        <f t="shared" si="39"/>
        <v>37448.480000000003</v>
      </c>
      <c r="AM138" s="6">
        <f t="shared" si="39"/>
        <v>-5840.82</v>
      </c>
      <c r="AN138" s="6">
        <f t="shared" si="39"/>
        <v>-7130.1199999999953</v>
      </c>
      <c r="AO138" s="6">
        <f t="shared" si="39"/>
        <v>-8652.9400000000023</v>
      </c>
      <c r="AP138" s="6">
        <f t="shared" si="39"/>
        <v>33284.879999999997</v>
      </c>
      <c r="AQ138" s="6">
        <f t="shared" si="39"/>
        <v>31009.35</v>
      </c>
      <c r="AR138" s="6">
        <f t="shared" si="39"/>
        <v>27796.62999999999</v>
      </c>
      <c r="AS138" s="6">
        <f t="shared" si="39"/>
        <v>25670.12999999999</v>
      </c>
      <c r="AT138" s="6">
        <f t="shared" si="39"/>
        <v>56991.989999999991</v>
      </c>
      <c r="AU138" s="6">
        <f t="shared" si="39"/>
        <v>54250.849999999991</v>
      </c>
      <c r="AV138" s="6">
        <f t="shared" si="39"/>
        <v>50955.880000000005</v>
      </c>
      <c r="AW138" s="6">
        <f t="shared" si="39"/>
        <v>-2071.570000000007</v>
      </c>
      <c r="AX138" s="6">
        <f t="shared" si="39"/>
        <v>-55102.39</v>
      </c>
      <c r="AY138" s="6">
        <f t="shared" si="39"/>
        <v>-26141.73000000001</v>
      </c>
      <c r="AZ138" s="6">
        <f t="shared" si="39"/>
        <v>-29225.360000000015</v>
      </c>
      <c r="BA138" s="6">
        <f t="shared" si="39"/>
        <v>-32127.85000000002</v>
      </c>
      <c r="BB138" s="6">
        <f t="shared" si="39"/>
        <v>-35543.230000000025</v>
      </c>
      <c r="BC138" s="6">
        <f t="shared" si="39"/>
        <v>-11943.540000000023</v>
      </c>
      <c r="BD138" s="6">
        <f t="shared" si="39"/>
        <v>17633.899999999994</v>
      </c>
      <c r="BE138" s="6">
        <f t="shared" si="39"/>
        <v>45770.900000000023</v>
      </c>
      <c r="BF138" s="6">
        <f t="shared" si="39"/>
        <v>180641.82000000004</v>
      </c>
      <c r="BG138" s="6">
        <f t="shared" si="39"/>
        <v>236829.71999999994</v>
      </c>
      <c r="BH138" s="6">
        <f t="shared" si="39"/>
        <v>230568.65999999997</v>
      </c>
      <c r="BI138" s="6">
        <f t="shared" si="39"/>
        <v>269262.64</v>
      </c>
      <c r="BJ138" s="6">
        <f t="shared" si="39"/>
        <v>263780.61</v>
      </c>
      <c r="BK138" s="6">
        <f t="shared" si="39"/>
        <v>267518.10999999993</v>
      </c>
      <c r="BL138" s="6">
        <f t="shared" si="39"/>
        <v>261695.30999999997</v>
      </c>
      <c r="BM138" s="6">
        <f t="shared" si="39"/>
        <v>256421.02000000002</v>
      </c>
      <c r="BN138" s="6">
        <f t="shared" ref="BN138:CA138" si="40">BN135+SUM(BN137)</f>
        <v>260656.78999999998</v>
      </c>
      <c r="BO138" s="6">
        <f t="shared" si="40"/>
        <v>133923.23000000004</v>
      </c>
      <c r="BP138" s="6">
        <f t="shared" si="40"/>
        <v>220532.98000000004</v>
      </c>
      <c r="BQ138" s="6">
        <f t="shared" si="40"/>
        <v>216090.28000000003</v>
      </c>
      <c r="BR138" s="6">
        <f t="shared" si="40"/>
        <v>282372.34000000008</v>
      </c>
      <c r="BS138" s="6">
        <f t="shared" si="40"/>
        <v>275565.01000000007</v>
      </c>
      <c r="BT138" s="6">
        <f t="shared" si="40"/>
        <v>266998.56000000006</v>
      </c>
      <c r="BU138" s="6">
        <f t="shared" si="40"/>
        <v>326652.88000000006</v>
      </c>
      <c r="BV138" s="6">
        <f t="shared" si="40"/>
        <v>313045.08</v>
      </c>
      <c r="BW138" s="6">
        <f t="shared" si="40"/>
        <v>306438.33</v>
      </c>
      <c r="BX138" s="6">
        <f t="shared" si="40"/>
        <v>295601.30000000005</v>
      </c>
      <c r="BY138" s="6">
        <f t="shared" si="40"/>
        <v>288917.63</v>
      </c>
      <c r="BZ138" s="6">
        <f t="shared" si="40"/>
        <v>277937.63</v>
      </c>
      <c r="CA138" s="6">
        <f t="shared" si="40"/>
        <v>269927.83</v>
      </c>
    </row>
    <row r="139" spans="1:79" x14ac:dyDescent="0.3">
      <c r="A139" s="5" t="s">
        <v>326</v>
      </c>
      <c r="B139" s="6">
        <f t="shared" ref="B139:BM139" si="41">B109+B138</f>
        <v>85881.420000000013</v>
      </c>
      <c r="C139" s="6">
        <f t="shared" si="41"/>
        <v>64435.790000000008</v>
      </c>
      <c r="D139" s="6">
        <f t="shared" si="41"/>
        <v>109573.72</v>
      </c>
      <c r="E139" s="6">
        <f t="shared" si="41"/>
        <v>101034.18000000001</v>
      </c>
      <c r="F139" s="6">
        <f t="shared" si="41"/>
        <v>105234.5</v>
      </c>
      <c r="G139" s="6">
        <f t="shared" si="41"/>
        <v>156440.06</v>
      </c>
      <c r="H139" s="6">
        <f t="shared" si="41"/>
        <v>164769.90000000002</v>
      </c>
      <c r="I139" s="6">
        <f t="shared" si="41"/>
        <v>161807.65999999997</v>
      </c>
      <c r="J139" s="6">
        <f t="shared" si="41"/>
        <v>143193.5</v>
      </c>
      <c r="K139" s="6">
        <f t="shared" si="41"/>
        <v>155938.89000000001</v>
      </c>
      <c r="L139" s="6">
        <f t="shared" si="41"/>
        <v>142613.17999999996</v>
      </c>
      <c r="M139" s="6">
        <f t="shared" si="41"/>
        <v>150462.93</v>
      </c>
      <c r="N139" s="6">
        <f t="shared" si="41"/>
        <v>167720.56</v>
      </c>
      <c r="O139" s="6">
        <f t="shared" si="41"/>
        <v>206813.55000000002</v>
      </c>
      <c r="P139" s="6">
        <f t="shared" si="41"/>
        <v>214769.69999999998</v>
      </c>
      <c r="Q139" s="6">
        <f t="shared" si="41"/>
        <v>213558.89</v>
      </c>
      <c r="R139" s="6">
        <f t="shared" si="41"/>
        <v>223636.15999999997</v>
      </c>
      <c r="S139" s="6">
        <f t="shared" si="41"/>
        <v>158275.81</v>
      </c>
      <c r="T139" s="6">
        <f t="shared" si="41"/>
        <v>152858.70000000001</v>
      </c>
      <c r="U139" s="6">
        <f t="shared" si="41"/>
        <v>-3371.6999999999898</v>
      </c>
      <c r="V139" s="6">
        <f t="shared" si="41"/>
        <v>-4657.109999999986</v>
      </c>
      <c r="W139" s="6">
        <f t="shared" si="41"/>
        <v>-391.64999999999418</v>
      </c>
      <c r="X139" s="6">
        <f t="shared" si="41"/>
        <v>-41375.189999999988</v>
      </c>
      <c r="Y139" s="6">
        <f t="shared" si="41"/>
        <v>-22735.089999999997</v>
      </c>
      <c r="Z139" s="6">
        <f t="shared" si="41"/>
        <v>-21127.520000000004</v>
      </c>
      <c r="AA139" s="6">
        <f t="shared" si="41"/>
        <v>-40909.960000000014</v>
      </c>
      <c r="AB139" s="6">
        <f t="shared" si="41"/>
        <v>21070.699999999983</v>
      </c>
      <c r="AC139" s="6">
        <f t="shared" si="41"/>
        <v>79249.319999999992</v>
      </c>
      <c r="AD139" s="6">
        <f t="shared" si="41"/>
        <v>82158.929999999993</v>
      </c>
      <c r="AE139" s="6">
        <f t="shared" si="41"/>
        <v>158908.77999999997</v>
      </c>
      <c r="AF139" s="6">
        <f t="shared" si="41"/>
        <v>94269.249999999985</v>
      </c>
      <c r="AG139" s="6">
        <f t="shared" si="41"/>
        <v>120751.05999999997</v>
      </c>
      <c r="AH139" s="6">
        <f t="shared" si="41"/>
        <v>40479.849999999984</v>
      </c>
      <c r="AI139" s="6">
        <f t="shared" si="41"/>
        <v>49317.949999999975</v>
      </c>
      <c r="AJ139" s="6">
        <f t="shared" si="41"/>
        <v>75758.51999999996</v>
      </c>
      <c r="AK139" s="6">
        <f t="shared" si="41"/>
        <v>85898.429999999978</v>
      </c>
      <c r="AL139" s="6">
        <f t="shared" si="41"/>
        <v>85810.809999999969</v>
      </c>
      <c r="AM139" s="6">
        <f t="shared" si="41"/>
        <v>65187.979999999989</v>
      </c>
      <c r="AN139" s="6">
        <f t="shared" si="41"/>
        <v>78858.59</v>
      </c>
      <c r="AO139" s="6">
        <f t="shared" si="41"/>
        <v>120388.80999999997</v>
      </c>
      <c r="AP139" s="6">
        <f t="shared" si="41"/>
        <v>176360.40999999997</v>
      </c>
      <c r="AQ139" s="6">
        <f t="shared" si="41"/>
        <v>126488.95000000001</v>
      </c>
      <c r="AR139" s="6">
        <f t="shared" si="41"/>
        <v>153354.22999999998</v>
      </c>
      <c r="AS139" s="6">
        <f t="shared" si="41"/>
        <v>147380.52999999997</v>
      </c>
      <c r="AT139" s="6">
        <f t="shared" si="41"/>
        <v>186106.24999999997</v>
      </c>
      <c r="AU139" s="6">
        <f t="shared" si="41"/>
        <v>114803.38999999998</v>
      </c>
      <c r="AV139" s="6">
        <f t="shared" si="41"/>
        <v>158051.75999999998</v>
      </c>
      <c r="AW139" s="6">
        <f t="shared" si="41"/>
        <v>67531.809999999969</v>
      </c>
      <c r="AX139" s="6">
        <f t="shared" si="41"/>
        <v>127888.49</v>
      </c>
      <c r="AY139" s="6">
        <f t="shared" si="41"/>
        <v>136186.18</v>
      </c>
      <c r="AZ139" s="6">
        <f t="shared" si="41"/>
        <v>211411.47999999998</v>
      </c>
      <c r="BA139" s="6">
        <f t="shared" si="41"/>
        <v>239114.93999999994</v>
      </c>
      <c r="BB139" s="6">
        <f t="shared" si="41"/>
        <v>231817.11999999994</v>
      </c>
      <c r="BC139" s="6">
        <f t="shared" si="41"/>
        <v>253124.45999999996</v>
      </c>
      <c r="BD139" s="6">
        <f t="shared" si="41"/>
        <v>412271.47</v>
      </c>
      <c r="BE139" s="6">
        <f t="shared" si="41"/>
        <v>626138.36999999988</v>
      </c>
      <c r="BF139" s="6">
        <f t="shared" si="41"/>
        <v>653480.12</v>
      </c>
      <c r="BG139" s="6">
        <f t="shared" si="41"/>
        <v>589171.42999999993</v>
      </c>
      <c r="BH139" s="6">
        <f t="shared" si="41"/>
        <v>515598.76999999996</v>
      </c>
      <c r="BI139" s="6">
        <f t="shared" si="41"/>
        <v>512037.65</v>
      </c>
      <c r="BJ139" s="6">
        <f t="shared" si="41"/>
        <v>497611.97</v>
      </c>
      <c r="BK139" s="6">
        <f t="shared" si="41"/>
        <v>452760.15999999992</v>
      </c>
      <c r="BL139" s="6">
        <f t="shared" si="41"/>
        <v>445135.00999999989</v>
      </c>
      <c r="BM139" s="6">
        <f t="shared" si="41"/>
        <v>495378.09</v>
      </c>
      <c r="BN139" s="6">
        <f t="shared" ref="BN139:CA139" si="42">BN109+BN138</f>
        <v>470420.50999999995</v>
      </c>
      <c r="BO139" s="6">
        <f t="shared" si="42"/>
        <v>641527.68000000017</v>
      </c>
      <c r="BP139" s="6">
        <f t="shared" si="42"/>
        <v>575714.9600000002</v>
      </c>
      <c r="BQ139" s="6">
        <f t="shared" si="42"/>
        <v>543905.33000000007</v>
      </c>
      <c r="BR139" s="6">
        <f t="shared" si="42"/>
        <v>508537.76000000013</v>
      </c>
      <c r="BS139" s="6">
        <f t="shared" si="42"/>
        <v>480120.81000000006</v>
      </c>
      <c r="BT139" s="6">
        <f t="shared" si="42"/>
        <v>403503.04000000004</v>
      </c>
      <c r="BU139" s="6">
        <f t="shared" si="42"/>
        <v>360522.24000000005</v>
      </c>
      <c r="BV139" s="6">
        <f t="shared" si="42"/>
        <v>234074.00999999995</v>
      </c>
      <c r="BW139" s="6">
        <f t="shared" si="42"/>
        <v>205619.84999999995</v>
      </c>
      <c r="BX139" s="6">
        <f t="shared" si="42"/>
        <v>106369.47000000009</v>
      </c>
      <c r="BY139" s="6">
        <f t="shared" si="42"/>
        <v>108419.46000000005</v>
      </c>
      <c r="BZ139" s="6">
        <f t="shared" si="42"/>
        <v>127873.88000000012</v>
      </c>
      <c r="CA139" s="6">
        <f t="shared" si="42"/>
        <v>112704.4</v>
      </c>
    </row>
    <row r="140" spans="1:79" x14ac:dyDescent="0.3">
      <c r="A140" s="5" t="s">
        <v>327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</row>
    <row r="141" spans="1:79" x14ac:dyDescent="0.3">
      <c r="A141" s="5" t="s">
        <v>328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</row>
    <row r="142" spans="1:79" x14ac:dyDescent="0.3">
      <c r="A142" s="12" t="s">
        <v>328</v>
      </c>
      <c r="B142" s="10">
        <v>36288.31</v>
      </c>
      <c r="C142" s="10">
        <v>36288.31</v>
      </c>
      <c r="D142" s="10">
        <v>36288.31</v>
      </c>
      <c r="E142" s="10">
        <v>36288.31</v>
      </c>
      <c r="F142" s="10">
        <v>36288.31</v>
      </c>
      <c r="G142" s="10">
        <v>36288.31</v>
      </c>
      <c r="H142" s="10">
        <v>192406.09</v>
      </c>
      <c r="I142" s="10">
        <v>192406.09</v>
      </c>
      <c r="J142" s="10">
        <v>192406.09</v>
      </c>
      <c r="K142" s="10">
        <v>192406.09</v>
      </c>
      <c r="L142" s="10">
        <v>192406.09</v>
      </c>
      <c r="M142" s="10">
        <v>192406.09</v>
      </c>
      <c r="N142" s="10">
        <v>192406.09</v>
      </c>
      <c r="O142" s="10">
        <v>192406.09</v>
      </c>
      <c r="P142" s="10">
        <v>192406.09</v>
      </c>
      <c r="Q142" s="10">
        <v>192406.09</v>
      </c>
      <c r="R142" s="10">
        <v>192406.09</v>
      </c>
      <c r="S142" s="10">
        <v>192406.09</v>
      </c>
      <c r="T142" s="10">
        <v>387749.31</v>
      </c>
      <c r="U142" s="10">
        <v>387749.31</v>
      </c>
      <c r="V142" s="10">
        <v>387749.31</v>
      </c>
      <c r="W142" s="10">
        <v>387749.31</v>
      </c>
      <c r="X142" s="10">
        <v>387749.31</v>
      </c>
      <c r="Y142" s="10">
        <v>387749.31</v>
      </c>
      <c r="Z142" s="10">
        <v>387749.31</v>
      </c>
      <c r="AA142" s="10">
        <v>387749.31</v>
      </c>
      <c r="AB142" s="10">
        <v>387749.31</v>
      </c>
      <c r="AC142" s="10">
        <v>387749.31</v>
      </c>
      <c r="AD142" s="10">
        <v>387749.31</v>
      </c>
      <c r="AE142" s="10">
        <v>387749.31</v>
      </c>
      <c r="AF142" s="10">
        <v>544844.46</v>
      </c>
      <c r="AG142" s="10">
        <v>544844.46</v>
      </c>
      <c r="AH142" s="10">
        <v>544844.46</v>
      </c>
      <c r="AI142" s="10">
        <v>544844.46</v>
      </c>
      <c r="AJ142" s="10">
        <v>544844.46</v>
      </c>
      <c r="AK142" s="10">
        <v>544844.46</v>
      </c>
      <c r="AL142" s="10">
        <v>544844.46</v>
      </c>
      <c r="AM142" s="10">
        <v>544844.46</v>
      </c>
      <c r="AN142" s="10">
        <v>544844.46</v>
      </c>
      <c r="AO142" s="10">
        <v>544844.46</v>
      </c>
      <c r="AP142" s="10">
        <v>544844.46</v>
      </c>
      <c r="AQ142" s="10">
        <v>544844.46</v>
      </c>
      <c r="AR142" s="10">
        <v>775778.85</v>
      </c>
      <c r="AS142" s="10">
        <v>775778.85</v>
      </c>
      <c r="AT142" s="10">
        <v>775778.85</v>
      </c>
      <c r="AU142" s="10">
        <v>775778.85</v>
      </c>
      <c r="AV142" s="10">
        <v>775778.85</v>
      </c>
      <c r="AW142" s="10">
        <v>775778.85</v>
      </c>
      <c r="AX142" s="10">
        <v>775778.85</v>
      </c>
      <c r="AY142" s="10">
        <v>775778.85</v>
      </c>
      <c r="AZ142" s="10">
        <v>775778.85</v>
      </c>
      <c r="BA142" s="10">
        <v>775778.85</v>
      </c>
      <c r="BB142" s="10">
        <v>775778.85</v>
      </c>
      <c r="BC142" s="10">
        <v>775778.85</v>
      </c>
      <c r="BD142" s="10">
        <v>988994</v>
      </c>
      <c r="BE142" s="10">
        <v>988994</v>
      </c>
      <c r="BF142" s="10">
        <v>988994</v>
      </c>
      <c r="BG142" s="10">
        <v>988994</v>
      </c>
      <c r="BH142" s="10">
        <v>988994</v>
      </c>
      <c r="BI142" s="10">
        <v>988994</v>
      </c>
      <c r="BJ142" s="10">
        <v>988994</v>
      </c>
      <c r="BK142" s="10">
        <v>988994</v>
      </c>
      <c r="BL142" s="10">
        <v>988994</v>
      </c>
      <c r="BM142" s="10">
        <v>988994</v>
      </c>
      <c r="BN142" s="10">
        <v>988994</v>
      </c>
      <c r="BO142" s="10">
        <v>295265.69</v>
      </c>
      <c r="BP142" s="10">
        <v>290267.88</v>
      </c>
      <c r="BQ142" s="10">
        <v>290267.88</v>
      </c>
      <c r="BR142" s="10">
        <v>290267.88</v>
      </c>
      <c r="BS142" s="10">
        <v>290267.88</v>
      </c>
      <c r="BT142" s="10">
        <v>290267.88</v>
      </c>
      <c r="BU142" s="10">
        <v>220267.88</v>
      </c>
      <c r="BV142" s="10">
        <v>220267.88</v>
      </c>
      <c r="BW142" s="10">
        <v>220267.88</v>
      </c>
      <c r="BX142" s="10">
        <v>220267.88</v>
      </c>
      <c r="BY142" s="10">
        <v>220267.88</v>
      </c>
      <c r="BZ142" s="10">
        <v>220267.88</v>
      </c>
      <c r="CA142" s="10">
        <v>220267.88</v>
      </c>
    </row>
    <row r="143" spans="1:79" x14ac:dyDescent="0.3">
      <c r="A143" s="5" t="s">
        <v>329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</row>
    <row r="144" spans="1:79" x14ac:dyDescent="0.3">
      <c r="A144" s="12" t="s">
        <v>330</v>
      </c>
      <c r="B144" s="10">
        <v>167163.31</v>
      </c>
      <c r="C144" s="10">
        <v>178291.57</v>
      </c>
      <c r="D144" s="10">
        <v>163884.57</v>
      </c>
      <c r="E144" s="10">
        <v>172941.85</v>
      </c>
      <c r="F144" s="10">
        <v>168099.99</v>
      </c>
      <c r="G144" s="10">
        <v>156117.78</v>
      </c>
      <c r="H144" s="10">
        <v>48548.26</v>
      </c>
      <c r="I144" s="10">
        <v>124775.11</v>
      </c>
      <c r="J144" s="10">
        <v>108647.46</v>
      </c>
      <c r="K144" s="10">
        <v>86547.68</v>
      </c>
      <c r="L144" s="10">
        <v>137484.64000000001</v>
      </c>
      <c r="M144" s="10">
        <v>130304.34</v>
      </c>
      <c r="N144" s="10">
        <v>78979.7</v>
      </c>
      <c r="O144" s="10">
        <v>108776.82</v>
      </c>
      <c r="P144" s="10">
        <v>153887.74</v>
      </c>
      <c r="Q144" s="10">
        <v>100691.39</v>
      </c>
      <c r="R144" s="10">
        <v>180089.3</v>
      </c>
      <c r="S144" s="10">
        <v>195343.22</v>
      </c>
      <c r="T144" s="10">
        <v>4245.68</v>
      </c>
      <c r="U144" s="10">
        <v>116721.61</v>
      </c>
      <c r="V144" s="10">
        <v>121190.6</v>
      </c>
      <c r="W144" s="10">
        <v>115703.52</v>
      </c>
      <c r="X144" s="10">
        <v>132176.16</v>
      </c>
      <c r="Y144" s="10">
        <v>199051.28</v>
      </c>
      <c r="Z144" s="10">
        <v>172983.29</v>
      </c>
      <c r="AA144" s="10">
        <v>175913.59</v>
      </c>
      <c r="AB144" s="10">
        <v>188670.95</v>
      </c>
      <c r="AC144" s="10">
        <v>156051.66</v>
      </c>
      <c r="AD144" s="10">
        <v>173389.81</v>
      </c>
      <c r="AE144" s="10">
        <v>157095.15</v>
      </c>
      <c r="AF144" s="10">
        <v>31691.73</v>
      </c>
      <c r="AG144" s="10">
        <v>43605.5</v>
      </c>
      <c r="AH144" s="10">
        <v>75396.399999999994</v>
      </c>
      <c r="AI144" s="10">
        <v>51955.02</v>
      </c>
      <c r="AJ144" s="10">
        <v>69452.66</v>
      </c>
      <c r="AK144" s="10">
        <v>129090.29</v>
      </c>
      <c r="AL144" s="10">
        <v>150792.99</v>
      </c>
      <c r="AM144" s="10">
        <v>139627.23000000001</v>
      </c>
      <c r="AN144" s="10">
        <v>118558.91</v>
      </c>
      <c r="AO144" s="10">
        <v>84971.67</v>
      </c>
      <c r="AP144" s="10">
        <v>190667.61</v>
      </c>
      <c r="AQ144" s="10">
        <v>230934.39</v>
      </c>
      <c r="AR144" s="10">
        <v>-40280.410000000003</v>
      </c>
      <c r="AS144" s="10">
        <v>-5969.49</v>
      </c>
      <c r="AT144" s="10">
        <v>9962.16</v>
      </c>
      <c r="AU144" s="10">
        <v>49703.46</v>
      </c>
      <c r="AV144" s="10">
        <v>72432.929999999993</v>
      </c>
      <c r="AW144" s="10">
        <v>112172.62</v>
      </c>
      <c r="AX144" s="10">
        <v>146777.57</v>
      </c>
      <c r="AY144" s="10">
        <v>153447.76999999999</v>
      </c>
      <c r="AZ144" s="10">
        <v>68182.289999999994</v>
      </c>
      <c r="BA144" s="10">
        <v>252105.56</v>
      </c>
      <c r="BB144" s="10">
        <v>145423.07999999999</v>
      </c>
      <c r="BC144" s="10">
        <v>213215.15</v>
      </c>
      <c r="BD144" s="10">
        <v>77481.820000000007</v>
      </c>
      <c r="BE144" s="10">
        <v>42089.21</v>
      </c>
      <c r="BF144" s="10">
        <v>-65661.240000000005</v>
      </c>
      <c r="BG144" s="10">
        <v>15378.48</v>
      </c>
      <c r="BH144" s="10">
        <v>17914.98</v>
      </c>
      <c r="BI144" s="10">
        <v>34165.64</v>
      </c>
      <c r="BJ144" s="10">
        <v>-21382.5</v>
      </c>
      <c r="BK144" s="10">
        <v>-32347.77</v>
      </c>
      <c r="BL144" s="10">
        <v>21876.76</v>
      </c>
      <c r="BM144" s="10">
        <v>-58308.85</v>
      </c>
      <c r="BN144" s="10">
        <v>-36110.07</v>
      </c>
      <c r="BO144" s="10">
        <v>-4997.8100000000004</v>
      </c>
      <c r="BP144" s="10">
        <v>15377.77</v>
      </c>
      <c r="BQ144" s="10">
        <v>89586.89</v>
      </c>
      <c r="BR144" s="10">
        <v>150719.66</v>
      </c>
      <c r="BS144" s="10">
        <v>282730.14</v>
      </c>
      <c r="BT144" s="10">
        <v>361480.16</v>
      </c>
      <c r="BU144" s="10">
        <v>464997.87</v>
      </c>
      <c r="BV144" s="10">
        <v>619760.57999999996</v>
      </c>
      <c r="BW144" s="10">
        <v>644056.04</v>
      </c>
      <c r="BX144" s="10">
        <v>798129.25</v>
      </c>
      <c r="BY144" s="10">
        <v>767194.31</v>
      </c>
      <c r="BZ144" s="10">
        <v>783091.88</v>
      </c>
      <c r="CA144" s="10">
        <v>834253.69</v>
      </c>
    </row>
    <row r="145" spans="1:79" x14ac:dyDescent="0.3">
      <c r="A145" s="5" t="s">
        <v>331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</row>
    <row r="146" spans="1:79" x14ac:dyDescent="0.3">
      <c r="A146" s="12" t="s">
        <v>332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-229297.03</v>
      </c>
      <c r="BW146" s="10">
        <v>-229297.03</v>
      </c>
      <c r="BX146" s="10">
        <v>-229297.03</v>
      </c>
      <c r="BY146" s="10">
        <v>-229297.03</v>
      </c>
      <c r="BZ146" s="10">
        <v>-229297.03</v>
      </c>
      <c r="CA146" s="10">
        <v>-229297.03</v>
      </c>
    </row>
    <row r="147" spans="1:79" x14ac:dyDescent="0.3">
      <c r="A147" s="5" t="s">
        <v>333</v>
      </c>
      <c r="B147" s="6">
        <f t="shared" ref="B147:AG147" si="43">SUM(B142)+SUM(B144)+SUM(B146)</f>
        <v>203451.62</v>
      </c>
      <c r="C147" s="6">
        <f t="shared" si="43"/>
        <v>214579.88</v>
      </c>
      <c r="D147" s="6">
        <f t="shared" si="43"/>
        <v>200172.88</v>
      </c>
      <c r="E147" s="6">
        <f t="shared" si="43"/>
        <v>209230.16</v>
      </c>
      <c r="F147" s="6">
        <f t="shared" si="43"/>
        <v>204388.3</v>
      </c>
      <c r="G147" s="6">
        <f t="shared" si="43"/>
        <v>192406.09</v>
      </c>
      <c r="H147" s="6">
        <f t="shared" si="43"/>
        <v>240954.35</v>
      </c>
      <c r="I147" s="6">
        <f t="shared" si="43"/>
        <v>317181.2</v>
      </c>
      <c r="J147" s="6">
        <f t="shared" si="43"/>
        <v>301053.55</v>
      </c>
      <c r="K147" s="6">
        <f t="shared" si="43"/>
        <v>278953.77</v>
      </c>
      <c r="L147" s="6">
        <f t="shared" si="43"/>
        <v>329890.73</v>
      </c>
      <c r="M147" s="6">
        <f t="shared" si="43"/>
        <v>322710.43</v>
      </c>
      <c r="N147" s="6">
        <f t="shared" si="43"/>
        <v>271385.78999999998</v>
      </c>
      <c r="O147" s="6">
        <f t="shared" si="43"/>
        <v>301182.91000000003</v>
      </c>
      <c r="P147" s="6">
        <f t="shared" si="43"/>
        <v>346293.82999999996</v>
      </c>
      <c r="Q147" s="6">
        <f t="shared" si="43"/>
        <v>293097.48</v>
      </c>
      <c r="R147" s="6">
        <f t="shared" si="43"/>
        <v>372495.39</v>
      </c>
      <c r="S147" s="6">
        <f t="shared" si="43"/>
        <v>387749.31</v>
      </c>
      <c r="T147" s="6">
        <f t="shared" si="43"/>
        <v>391994.99</v>
      </c>
      <c r="U147" s="6">
        <f t="shared" si="43"/>
        <v>504470.92</v>
      </c>
      <c r="V147" s="6">
        <f t="shared" si="43"/>
        <v>508939.91000000003</v>
      </c>
      <c r="W147" s="6">
        <f t="shared" si="43"/>
        <v>503452.83</v>
      </c>
      <c r="X147" s="6">
        <f t="shared" si="43"/>
        <v>519925.47</v>
      </c>
      <c r="Y147" s="6">
        <f t="shared" si="43"/>
        <v>586800.59</v>
      </c>
      <c r="Z147" s="6">
        <f t="shared" si="43"/>
        <v>560732.6</v>
      </c>
      <c r="AA147" s="6">
        <f t="shared" si="43"/>
        <v>563662.9</v>
      </c>
      <c r="AB147" s="6">
        <f t="shared" si="43"/>
        <v>576420.26</v>
      </c>
      <c r="AC147" s="6">
        <f t="shared" si="43"/>
        <v>543800.97</v>
      </c>
      <c r="AD147" s="6">
        <f t="shared" si="43"/>
        <v>561139.12</v>
      </c>
      <c r="AE147" s="6">
        <f t="shared" si="43"/>
        <v>544844.46</v>
      </c>
      <c r="AF147" s="6">
        <f t="shared" si="43"/>
        <v>576536.18999999994</v>
      </c>
      <c r="AG147" s="6">
        <f t="shared" si="43"/>
        <v>588449.96</v>
      </c>
      <c r="AH147" s="6">
        <f t="shared" ref="AH147:BM147" si="44">SUM(AH142)+SUM(AH144)+SUM(AH146)</f>
        <v>620240.86</v>
      </c>
      <c r="AI147" s="6">
        <f t="shared" si="44"/>
        <v>596799.48</v>
      </c>
      <c r="AJ147" s="6">
        <f t="shared" si="44"/>
        <v>614297.12</v>
      </c>
      <c r="AK147" s="6">
        <f t="shared" si="44"/>
        <v>673934.75</v>
      </c>
      <c r="AL147" s="6">
        <f t="shared" si="44"/>
        <v>695637.45</v>
      </c>
      <c r="AM147" s="6">
        <f t="shared" si="44"/>
        <v>684471.69</v>
      </c>
      <c r="AN147" s="6">
        <f t="shared" si="44"/>
        <v>663403.37</v>
      </c>
      <c r="AO147" s="6">
        <f t="shared" si="44"/>
        <v>629816.13</v>
      </c>
      <c r="AP147" s="6">
        <f t="shared" si="44"/>
        <v>735512.07</v>
      </c>
      <c r="AQ147" s="6">
        <f t="shared" si="44"/>
        <v>775778.85</v>
      </c>
      <c r="AR147" s="6">
        <f t="shared" si="44"/>
        <v>735498.44</v>
      </c>
      <c r="AS147" s="6">
        <f t="shared" si="44"/>
        <v>769809.36</v>
      </c>
      <c r="AT147" s="6">
        <f t="shared" si="44"/>
        <v>785741.01</v>
      </c>
      <c r="AU147" s="6">
        <f t="shared" si="44"/>
        <v>825482.30999999994</v>
      </c>
      <c r="AV147" s="6">
        <f t="shared" si="44"/>
        <v>848211.78</v>
      </c>
      <c r="AW147" s="6">
        <f t="shared" si="44"/>
        <v>887951.47</v>
      </c>
      <c r="AX147" s="6">
        <f t="shared" si="44"/>
        <v>922556.41999999993</v>
      </c>
      <c r="AY147" s="6">
        <f t="shared" si="44"/>
        <v>929226.62</v>
      </c>
      <c r="AZ147" s="6">
        <f t="shared" si="44"/>
        <v>843961.14</v>
      </c>
      <c r="BA147" s="6">
        <f t="shared" si="44"/>
        <v>1027884.4099999999</v>
      </c>
      <c r="BB147" s="6">
        <f t="shared" si="44"/>
        <v>921201.92999999993</v>
      </c>
      <c r="BC147" s="6">
        <f t="shared" si="44"/>
        <v>988994</v>
      </c>
      <c r="BD147" s="6">
        <f t="shared" si="44"/>
        <v>1066475.82</v>
      </c>
      <c r="BE147" s="6">
        <f t="shared" si="44"/>
        <v>1031083.21</v>
      </c>
      <c r="BF147" s="6">
        <f t="shared" si="44"/>
        <v>923332.76</v>
      </c>
      <c r="BG147" s="6">
        <f t="shared" si="44"/>
        <v>1004372.48</v>
      </c>
      <c r="BH147" s="6">
        <f t="shared" si="44"/>
        <v>1006908.98</v>
      </c>
      <c r="BI147" s="6">
        <f t="shared" si="44"/>
        <v>1023159.64</v>
      </c>
      <c r="BJ147" s="6">
        <f t="shared" si="44"/>
        <v>967611.5</v>
      </c>
      <c r="BK147" s="6">
        <f t="shared" si="44"/>
        <v>956646.23</v>
      </c>
      <c r="BL147" s="6">
        <f t="shared" si="44"/>
        <v>1010870.76</v>
      </c>
      <c r="BM147" s="6">
        <f t="shared" si="44"/>
        <v>930685.15</v>
      </c>
      <c r="BN147" s="6">
        <f t="shared" ref="BN147:CA147" si="45">SUM(BN142)+SUM(BN144)+SUM(BN146)</f>
        <v>952883.93</v>
      </c>
      <c r="BO147" s="6">
        <f t="shared" si="45"/>
        <v>290267.88</v>
      </c>
      <c r="BP147" s="6">
        <f t="shared" si="45"/>
        <v>305645.65000000002</v>
      </c>
      <c r="BQ147" s="6">
        <f t="shared" si="45"/>
        <v>379854.77</v>
      </c>
      <c r="BR147" s="6">
        <f t="shared" si="45"/>
        <v>440987.54000000004</v>
      </c>
      <c r="BS147" s="6">
        <f t="shared" si="45"/>
        <v>572998.02</v>
      </c>
      <c r="BT147" s="6">
        <f t="shared" si="45"/>
        <v>651748.04</v>
      </c>
      <c r="BU147" s="6">
        <f t="shared" si="45"/>
        <v>685265.75</v>
      </c>
      <c r="BV147" s="6">
        <f t="shared" si="45"/>
        <v>610731.42999999993</v>
      </c>
      <c r="BW147" s="6">
        <f t="shared" si="45"/>
        <v>635026.89</v>
      </c>
      <c r="BX147" s="6">
        <f t="shared" si="45"/>
        <v>789100.1</v>
      </c>
      <c r="BY147" s="6">
        <f t="shared" si="45"/>
        <v>758165.16</v>
      </c>
      <c r="BZ147" s="6">
        <f t="shared" si="45"/>
        <v>774062.73</v>
      </c>
      <c r="CA147" s="6">
        <f t="shared" si="45"/>
        <v>825224.5399999998</v>
      </c>
    </row>
    <row r="148" spans="1:79" x14ac:dyDescent="0.3">
      <c r="A148" s="5" t="s">
        <v>334</v>
      </c>
      <c r="B148" s="6">
        <f t="shared" ref="B148:BM148" si="46">B139+B147</f>
        <v>289333.04000000004</v>
      </c>
      <c r="C148" s="6">
        <f t="shared" si="46"/>
        <v>279015.67000000004</v>
      </c>
      <c r="D148" s="6">
        <f t="shared" si="46"/>
        <v>309746.59999999998</v>
      </c>
      <c r="E148" s="6">
        <f t="shared" si="46"/>
        <v>310264.34000000003</v>
      </c>
      <c r="F148" s="6">
        <f t="shared" si="46"/>
        <v>309622.8</v>
      </c>
      <c r="G148" s="6">
        <f t="shared" si="46"/>
        <v>348846.15</v>
      </c>
      <c r="H148" s="6">
        <f t="shared" si="46"/>
        <v>405724.25</v>
      </c>
      <c r="I148" s="6">
        <f t="shared" si="46"/>
        <v>478988.86</v>
      </c>
      <c r="J148" s="6">
        <f t="shared" si="46"/>
        <v>444247.05</v>
      </c>
      <c r="K148" s="6">
        <f t="shared" si="46"/>
        <v>434892.66000000003</v>
      </c>
      <c r="L148" s="6">
        <f t="shared" si="46"/>
        <v>472503.90999999992</v>
      </c>
      <c r="M148" s="6">
        <f t="shared" si="46"/>
        <v>473173.36</v>
      </c>
      <c r="N148" s="6">
        <f t="shared" si="46"/>
        <v>439106.35</v>
      </c>
      <c r="O148" s="6">
        <f t="shared" si="46"/>
        <v>507996.46000000008</v>
      </c>
      <c r="P148" s="6">
        <f t="shared" si="46"/>
        <v>561063.52999999991</v>
      </c>
      <c r="Q148" s="6">
        <f t="shared" si="46"/>
        <v>506656.37</v>
      </c>
      <c r="R148" s="6">
        <f t="shared" si="46"/>
        <v>596131.55000000005</v>
      </c>
      <c r="S148" s="6">
        <f t="shared" si="46"/>
        <v>546025.12</v>
      </c>
      <c r="T148" s="6">
        <f t="shared" si="46"/>
        <v>544853.68999999994</v>
      </c>
      <c r="U148" s="6">
        <f t="shared" si="46"/>
        <v>501099.22</v>
      </c>
      <c r="V148" s="6">
        <f t="shared" si="46"/>
        <v>504282.80000000005</v>
      </c>
      <c r="W148" s="6">
        <f t="shared" si="46"/>
        <v>503061.18000000005</v>
      </c>
      <c r="X148" s="6">
        <f t="shared" si="46"/>
        <v>478550.27999999997</v>
      </c>
      <c r="Y148" s="6">
        <f t="shared" si="46"/>
        <v>564065.5</v>
      </c>
      <c r="Z148" s="6">
        <f t="shared" si="46"/>
        <v>539605.07999999996</v>
      </c>
      <c r="AA148" s="6">
        <f t="shared" si="46"/>
        <v>522752.94</v>
      </c>
      <c r="AB148" s="6">
        <f t="shared" si="46"/>
        <v>597490.96</v>
      </c>
      <c r="AC148" s="6">
        <f t="shared" si="46"/>
        <v>623050.28999999992</v>
      </c>
      <c r="AD148" s="6">
        <f t="shared" si="46"/>
        <v>643298.05000000005</v>
      </c>
      <c r="AE148" s="6">
        <f t="shared" si="46"/>
        <v>703753.24</v>
      </c>
      <c r="AF148" s="6">
        <f t="shared" si="46"/>
        <v>670805.43999999994</v>
      </c>
      <c r="AG148" s="6">
        <f t="shared" si="46"/>
        <v>709201.0199999999</v>
      </c>
      <c r="AH148" s="6">
        <f t="shared" si="46"/>
        <v>660720.71</v>
      </c>
      <c r="AI148" s="6">
        <f t="shared" si="46"/>
        <v>646117.42999999993</v>
      </c>
      <c r="AJ148" s="6">
        <f t="shared" si="46"/>
        <v>690055.6399999999</v>
      </c>
      <c r="AK148" s="6">
        <f t="shared" si="46"/>
        <v>759833.17999999993</v>
      </c>
      <c r="AL148" s="6">
        <f t="shared" si="46"/>
        <v>781448.25999999989</v>
      </c>
      <c r="AM148" s="6">
        <f t="shared" si="46"/>
        <v>749659.66999999993</v>
      </c>
      <c r="AN148" s="6">
        <f t="shared" si="46"/>
        <v>742261.96</v>
      </c>
      <c r="AO148" s="6">
        <f t="shared" si="46"/>
        <v>750204.94</v>
      </c>
      <c r="AP148" s="6">
        <f t="shared" si="46"/>
        <v>911872.48</v>
      </c>
      <c r="AQ148" s="6">
        <f t="shared" si="46"/>
        <v>902267.8</v>
      </c>
      <c r="AR148" s="6">
        <f t="shared" si="46"/>
        <v>888852.66999999993</v>
      </c>
      <c r="AS148" s="6">
        <f t="shared" si="46"/>
        <v>917189.8899999999</v>
      </c>
      <c r="AT148" s="6">
        <f t="shared" si="46"/>
        <v>971847.26</v>
      </c>
      <c r="AU148" s="6">
        <f t="shared" si="46"/>
        <v>940285.7</v>
      </c>
      <c r="AV148" s="6">
        <f t="shared" si="46"/>
        <v>1006263.54</v>
      </c>
      <c r="AW148" s="6">
        <f t="shared" si="46"/>
        <v>955483.27999999991</v>
      </c>
      <c r="AX148" s="6">
        <f t="shared" si="46"/>
        <v>1050444.9099999999</v>
      </c>
      <c r="AY148" s="6">
        <f t="shared" si="46"/>
        <v>1065412.8</v>
      </c>
      <c r="AZ148" s="6">
        <f t="shared" si="46"/>
        <v>1055372.6200000001</v>
      </c>
      <c r="BA148" s="6">
        <f t="shared" si="46"/>
        <v>1266999.3499999999</v>
      </c>
      <c r="BB148" s="6">
        <f t="shared" si="46"/>
        <v>1153019.0499999998</v>
      </c>
      <c r="BC148" s="6">
        <f t="shared" si="46"/>
        <v>1242118.46</v>
      </c>
      <c r="BD148" s="6">
        <f t="shared" si="46"/>
        <v>1478747.29</v>
      </c>
      <c r="BE148" s="6">
        <f t="shared" si="46"/>
        <v>1657221.5799999998</v>
      </c>
      <c r="BF148" s="6">
        <f t="shared" si="46"/>
        <v>1576812.88</v>
      </c>
      <c r="BG148" s="6">
        <f t="shared" si="46"/>
        <v>1593543.91</v>
      </c>
      <c r="BH148" s="6">
        <f t="shared" si="46"/>
        <v>1522507.75</v>
      </c>
      <c r="BI148" s="6">
        <f t="shared" si="46"/>
        <v>1535197.29</v>
      </c>
      <c r="BJ148" s="6">
        <f t="shared" si="46"/>
        <v>1465223.47</v>
      </c>
      <c r="BK148" s="6">
        <f t="shared" si="46"/>
        <v>1409406.39</v>
      </c>
      <c r="BL148" s="6">
        <f t="shared" si="46"/>
        <v>1456005.77</v>
      </c>
      <c r="BM148" s="6">
        <f t="shared" si="46"/>
        <v>1426063.24</v>
      </c>
      <c r="BN148" s="6">
        <f t="shared" ref="BN148:CA148" si="47">BN139+BN147</f>
        <v>1423304.44</v>
      </c>
      <c r="BO148" s="6">
        <f t="shared" si="47"/>
        <v>931795.56000000017</v>
      </c>
      <c r="BP148" s="6">
        <f t="shared" si="47"/>
        <v>881360.61000000022</v>
      </c>
      <c r="BQ148" s="6">
        <f t="shared" si="47"/>
        <v>923760.10000000009</v>
      </c>
      <c r="BR148" s="6">
        <f t="shared" si="47"/>
        <v>949525.30000000016</v>
      </c>
      <c r="BS148" s="6">
        <f t="shared" si="47"/>
        <v>1053118.83</v>
      </c>
      <c r="BT148" s="6">
        <f t="shared" si="47"/>
        <v>1055251.08</v>
      </c>
      <c r="BU148" s="6">
        <f t="shared" si="47"/>
        <v>1045787.99</v>
      </c>
      <c r="BV148" s="6">
        <f t="shared" si="47"/>
        <v>844805.44</v>
      </c>
      <c r="BW148" s="6">
        <f t="shared" si="47"/>
        <v>840646.74</v>
      </c>
      <c r="BX148" s="6">
        <f t="shared" si="47"/>
        <v>895469.57000000007</v>
      </c>
      <c r="BY148" s="6">
        <f t="shared" si="47"/>
        <v>866584.62000000011</v>
      </c>
      <c r="BZ148" s="6">
        <f t="shared" si="47"/>
        <v>901936.6100000001</v>
      </c>
      <c r="CA148" s="6">
        <f t="shared" si="47"/>
        <v>937928.93999999983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periods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SHARMA</cp:lastModifiedBy>
  <dcterms:modified xsi:type="dcterms:W3CDTF">2025-08-09T20:23:00Z</dcterms:modified>
</cp:coreProperties>
</file>